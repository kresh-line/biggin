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ΕΦΑΡΜΟΡΓΗ/ΑΤΟΜΙΚΗ ΕΡΓΑΣΙΑ Word,Excel/"/>
    </mc:Choice>
  </mc:AlternateContent>
  <xr:revisionPtr revIDLastSave="401" documentId="11_E3E238EB745CC9E7E9B686DC6616473576D3FB96" xr6:coauthVersionLast="47" xr6:coauthVersionMax="47" xr10:uidLastSave="{333A07F0-D435-4571-95EE-8F4E9DED980A}"/>
  <bookViews>
    <workbookView xWindow="-108" yWindow="-108" windowWidth="23256" windowHeight="12456" activeTab="2" xr2:uid="{00000000-000D-0000-FFFF-FFFF00000000}"/>
  </bookViews>
  <sheets>
    <sheet name="ΛΙΣΤΕΣ" sheetId="1" r:id="rId1"/>
    <sheet name="ΔΕΔΟΜΕΝΑ" sheetId="2" r:id="rId2"/>
    <sheet name="ΑΝΑΛΥΣΗ" sheetId="3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D8" i="2" a="1"/>
  <c r="D8" i="2" s="1"/>
  <c r="D9" i="2" a="1"/>
  <c r="D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D3" i="2" a="1"/>
  <c r="D3" i="2" s="1"/>
  <c r="D4" i="2" a="1"/>
  <c r="D4" i="2" s="1"/>
  <c r="D5" i="2" a="1"/>
  <c r="D5" i="2" s="1"/>
  <c r="D6" i="2" a="1"/>
  <c r="D6" i="2" s="1"/>
  <c r="D7" i="2" a="1"/>
  <c r="D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D2" i="2" a="1"/>
  <c r="D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2" i="2" a="1"/>
  <c r="C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2" i="2" a="1"/>
  <c r="B2" i="2" s="1"/>
  <c r="G2" i="2" l="1"/>
  <c r="G5" i="2"/>
  <c r="G4" i="2"/>
  <c r="G3" i="2"/>
  <c r="G146" i="2"/>
  <c r="H146" i="2" s="1"/>
  <c r="G138" i="2"/>
  <c r="H138" i="2" s="1"/>
  <c r="G130" i="2"/>
  <c r="H130" i="2" s="1"/>
  <c r="G122" i="2"/>
  <c r="H122" i="2" s="1"/>
  <c r="G114" i="2"/>
  <c r="H114" i="2" s="1"/>
  <c r="G106" i="2"/>
  <c r="H106" i="2" s="1"/>
  <c r="G98" i="2"/>
  <c r="H98" i="2" s="1"/>
  <c r="G90" i="2"/>
  <c r="H90" i="2" s="1"/>
  <c r="G82" i="2"/>
  <c r="H82" i="2" s="1"/>
  <c r="G74" i="2"/>
  <c r="H74" i="2" s="1"/>
  <c r="G66" i="2"/>
  <c r="H66" i="2" s="1"/>
  <c r="G58" i="2"/>
  <c r="H58" i="2" s="1"/>
  <c r="G50" i="2"/>
  <c r="H50" i="2" s="1"/>
  <c r="G42" i="2"/>
  <c r="H42" i="2" s="1"/>
  <c r="G34" i="2"/>
  <c r="H34" i="2" s="1"/>
  <c r="G26" i="2"/>
  <c r="H26" i="2" s="1"/>
  <c r="G18" i="2"/>
  <c r="G10" i="2"/>
  <c r="G144" i="2"/>
  <c r="H144" i="2" s="1"/>
  <c r="G136" i="2"/>
  <c r="H136" i="2" s="1"/>
  <c r="G128" i="2"/>
  <c r="H128" i="2" s="1"/>
  <c r="G112" i="2"/>
  <c r="H112" i="2" s="1"/>
  <c r="G104" i="2"/>
  <c r="H104" i="2" s="1"/>
  <c r="G96" i="2"/>
  <c r="H96" i="2" s="1"/>
  <c r="G88" i="2"/>
  <c r="H88" i="2" s="1"/>
  <c r="G80" i="2"/>
  <c r="H80" i="2" s="1"/>
  <c r="G72" i="2"/>
  <c r="H72" i="2" s="1"/>
  <c r="G64" i="2"/>
  <c r="H64" i="2" s="1"/>
  <c r="G48" i="2"/>
  <c r="H48" i="2" s="1"/>
  <c r="G40" i="2"/>
  <c r="H40" i="2" s="1"/>
  <c r="G32" i="2"/>
  <c r="H32" i="2" s="1"/>
  <c r="G24" i="2"/>
  <c r="H24" i="2" s="1"/>
  <c r="G16" i="2"/>
  <c r="G8" i="2"/>
  <c r="G147" i="2"/>
  <c r="H147" i="2" s="1"/>
  <c r="G139" i="2"/>
  <c r="H139" i="2" s="1"/>
  <c r="G131" i="2"/>
  <c r="H131" i="2" s="1"/>
  <c r="G123" i="2"/>
  <c r="H123" i="2" s="1"/>
  <c r="G115" i="2"/>
  <c r="H115" i="2" s="1"/>
  <c r="G107" i="2"/>
  <c r="H107" i="2" s="1"/>
  <c r="G99" i="2"/>
  <c r="H99" i="2" s="1"/>
  <c r="G91" i="2"/>
  <c r="H91" i="2" s="1"/>
  <c r="G83" i="2"/>
  <c r="H83" i="2" s="1"/>
  <c r="G75" i="2"/>
  <c r="H75" i="2" s="1"/>
  <c r="G67" i="2"/>
  <c r="H67" i="2" s="1"/>
  <c r="G59" i="2"/>
  <c r="H59" i="2" s="1"/>
  <c r="G51" i="2"/>
  <c r="H51" i="2" s="1"/>
  <c r="G43" i="2"/>
  <c r="H43" i="2" s="1"/>
  <c r="G35" i="2"/>
  <c r="H35" i="2" s="1"/>
  <c r="G27" i="2"/>
  <c r="H27" i="2" s="1"/>
  <c r="G19" i="2"/>
  <c r="G11" i="2"/>
  <c r="G120" i="2"/>
  <c r="H120" i="2" s="1"/>
  <c r="G56" i="2"/>
  <c r="H56" i="2" s="1"/>
  <c r="G145" i="2"/>
  <c r="H145" i="2" s="1"/>
  <c r="G137" i="2"/>
  <c r="H137" i="2" s="1"/>
  <c r="G129" i="2"/>
  <c r="H129" i="2" s="1"/>
  <c r="G121" i="2"/>
  <c r="H121" i="2" s="1"/>
  <c r="G113" i="2"/>
  <c r="H113" i="2" s="1"/>
  <c r="G105" i="2"/>
  <c r="H105" i="2" s="1"/>
  <c r="G97" i="2"/>
  <c r="H97" i="2" s="1"/>
  <c r="G89" i="2"/>
  <c r="H89" i="2" s="1"/>
  <c r="G81" i="2"/>
  <c r="H81" i="2" s="1"/>
  <c r="G73" i="2"/>
  <c r="H73" i="2" s="1"/>
  <c r="G65" i="2"/>
  <c r="H65" i="2" s="1"/>
  <c r="G57" i="2"/>
  <c r="H57" i="2" s="1"/>
  <c r="G49" i="2"/>
  <c r="H49" i="2" s="1"/>
  <c r="G41" i="2"/>
  <c r="H41" i="2" s="1"/>
  <c r="G33" i="2"/>
  <c r="H33" i="2" s="1"/>
  <c r="G25" i="2"/>
  <c r="H25" i="2" s="1"/>
  <c r="G17" i="2"/>
  <c r="G9" i="2"/>
  <c r="G151" i="2"/>
  <c r="H151" i="2" s="1"/>
  <c r="G143" i="2"/>
  <c r="H143" i="2" s="1"/>
  <c r="G135" i="2"/>
  <c r="H135" i="2" s="1"/>
  <c r="G127" i="2"/>
  <c r="H127" i="2" s="1"/>
  <c r="G119" i="2"/>
  <c r="H119" i="2" s="1"/>
  <c r="G111" i="2"/>
  <c r="H111" i="2" s="1"/>
  <c r="G103" i="2"/>
  <c r="H103" i="2" s="1"/>
  <c r="G95" i="2"/>
  <c r="H95" i="2" s="1"/>
  <c r="G87" i="2"/>
  <c r="H87" i="2" s="1"/>
  <c r="G79" i="2"/>
  <c r="H79" i="2" s="1"/>
  <c r="G71" i="2"/>
  <c r="H71" i="2" s="1"/>
  <c r="G63" i="2"/>
  <c r="H63" i="2" s="1"/>
  <c r="G55" i="2"/>
  <c r="H55" i="2" s="1"/>
  <c r="G47" i="2"/>
  <c r="H47" i="2" s="1"/>
  <c r="G39" i="2"/>
  <c r="H39" i="2" s="1"/>
  <c r="G31" i="2"/>
  <c r="H31" i="2" s="1"/>
  <c r="G23" i="2"/>
  <c r="H23" i="2" s="1"/>
  <c r="G15" i="2"/>
  <c r="G7" i="2"/>
  <c r="G150" i="2"/>
  <c r="H150" i="2" s="1"/>
  <c r="G142" i="2"/>
  <c r="H142" i="2" s="1"/>
  <c r="G134" i="2"/>
  <c r="H134" i="2" s="1"/>
  <c r="G126" i="2"/>
  <c r="H126" i="2" s="1"/>
  <c r="G118" i="2"/>
  <c r="H118" i="2" s="1"/>
  <c r="G110" i="2"/>
  <c r="H110" i="2" s="1"/>
  <c r="G102" i="2"/>
  <c r="H102" i="2" s="1"/>
  <c r="G94" i="2"/>
  <c r="H94" i="2" s="1"/>
  <c r="G86" i="2"/>
  <c r="H86" i="2" s="1"/>
  <c r="G78" i="2"/>
  <c r="H78" i="2" s="1"/>
  <c r="G70" i="2"/>
  <c r="H70" i="2" s="1"/>
  <c r="G62" i="2"/>
  <c r="H62" i="2" s="1"/>
  <c r="G54" i="2"/>
  <c r="H54" i="2" s="1"/>
  <c r="G46" i="2"/>
  <c r="H46" i="2" s="1"/>
  <c r="G38" i="2"/>
  <c r="H38" i="2" s="1"/>
  <c r="G30" i="2"/>
  <c r="H30" i="2" s="1"/>
  <c r="G22" i="2"/>
  <c r="H22" i="2" s="1"/>
  <c r="G14" i="2"/>
  <c r="G6" i="2"/>
  <c r="G149" i="2"/>
  <c r="H149" i="2" s="1"/>
  <c r="G141" i="2"/>
  <c r="H141" i="2" s="1"/>
  <c r="G133" i="2"/>
  <c r="H133" i="2" s="1"/>
  <c r="G125" i="2"/>
  <c r="H125" i="2" s="1"/>
  <c r="G117" i="2"/>
  <c r="H117" i="2" s="1"/>
  <c r="G109" i="2"/>
  <c r="H109" i="2" s="1"/>
  <c r="G101" i="2"/>
  <c r="H101" i="2" s="1"/>
  <c r="G93" i="2"/>
  <c r="H93" i="2" s="1"/>
  <c r="G85" i="2"/>
  <c r="H85" i="2" s="1"/>
  <c r="G77" i="2"/>
  <c r="H77" i="2" s="1"/>
  <c r="G69" i="2"/>
  <c r="H69" i="2" s="1"/>
  <c r="G61" i="2"/>
  <c r="H61" i="2" s="1"/>
  <c r="G53" i="2"/>
  <c r="H53" i="2" s="1"/>
  <c r="G45" i="2"/>
  <c r="H45" i="2" s="1"/>
  <c r="G37" i="2"/>
  <c r="H37" i="2" s="1"/>
  <c r="G29" i="2"/>
  <c r="H29" i="2" s="1"/>
  <c r="G21" i="2"/>
  <c r="H21" i="2" s="1"/>
  <c r="G13" i="2"/>
  <c r="G148" i="2"/>
  <c r="H148" i="2" s="1"/>
  <c r="G140" i="2"/>
  <c r="H140" i="2" s="1"/>
  <c r="G132" i="2"/>
  <c r="H132" i="2" s="1"/>
  <c r="G124" i="2"/>
  <c r="H124" i="2" s="1"/>
  <c r="G116" i="2"/>
  <c r="H116" i="2" s="1"/>
  <c r="G108" i="2"/>
  <c r="H108" i="2" s="1"/>
  <c r="G100" i="2"/>
  <c r="H100" i="2" s="1"/>
  <c r="G92" i="2"/>
  <c r="H92" i="2" s="1"/>
  <c r="G84" i="2"/>
  <c r="H84" i="2" s="1"/>
  <c r="G76" i="2"/>
  <c r="H76" i="2" s="1"/>
  <c r="G68" i="2"/>
  <c r="H68" i="2" s="1"/>
  <c r="G60" i="2"/>
  <c r="H60" i="2" s="1"/>
  <c r="G52" i="2"/>
  <c r="H52" i="2" s="1"/>
  <c r="G44" i="2"/>
  <c r="H44" i="2" s="1"/>
  <c r="G36" i="2"/>
  <c r="H36" i="2" s="1"/>
  <c r="G28" i="2"/>
  <c r="H28" i="2" s="1"/>
  <c r="G20" i="2"/>
  <c r="H20" i="2" s="1"/>
  <c r="G12" i="2"/>
  <c r="M5" i="2" l="1"/>
  <c r="M4" i="2"/>
  <c r="M3" i="2"/>
  <c r="M2" i="2"/>
  <c r="H11" i="2"/>
  <c r="H19" i="2"/>
  <c r="H10" i="2"/>
  <c r="H13" i="2"/>
  <c r="H9" i="2"/>
  <c r="H3" i="2"/>
  <c r="H12" i="2"/>
  <c r="H15" i="2"/>
  <c r="H16" i="2"/>
  <c r="H17" i="2"/>
  <c r="H4" i="2"/>
  <c r="H7" i="2"/>
  <c r="H18" i="2"/>
  <c r="H6" i="2"/>
  <c r="H5" i="2"/>
  <c r="H8" i="2"/>
  <c r="H14" i="2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<sst xmlns="http://schemas.openxmlformats.org/spreadsheetml/2006/main" count="82" uniqueCount="45">
  <si>
    <t>Μήνας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</si>
  <si>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</si>
  <si>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</si>
  <si>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</si>
  <si>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</si>
  <si>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</si>
  <si>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</si>
  <si>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</si>
  <si>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</si>
  <si>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</si>
  <si>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</si>
  <si>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</si>
  <si>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</si>
  <si>
    <t>Τιμή Μονάδας</t>
  </si>
  <si>
    <t>Νομός</t>
  </si>
  <si>
    <t>Χανίων</t>
  </si>
  <si>
    <t>Ρεθύμνου</t>
  </si>
  <si>
    <t>Ηρακλείου</t>
  </si>
  <si>
    <t>Προϊόν/Υπηρεσία</t>
  </si>
  <si>
    <t>Προϊον Α</t>
  </si>
  <si>
    <t>Προϊον Β</t>
  </si>
  <si>
    <t>Προϊον Γ</t>
  </si>
  <si>
    <t>Υπηρεσία Α</t>
  </si>
  <si>
    <t>Υπηρεσία Β</t>
  </si>
  <si>
    <t>Υπηρεσία Γ</t>
  </si>
  <si>
    <t>Προϊον Δ</t>
  </si>
  <si>
    <t>Λασιθίου</t>
  </si>
  <si>
    <t>Σύνολο πωλήσεων</t>
  </si>
  <si>
    <t xml:space="preserve">       Προϊόν</t>
  </si>
  <si>
    <t xml:space="preserve">       Νομός</t>
  </si>
  <si>
    <t xml:space="preserve">       Μήνας</t>
  </si>
  <si>
    <t xml:space="preserve">   Ποσότητα</t>
  </si>
  <si>
    <t>Column1</t>
  </si>
  <si>
    <t>Πρόβλεψη Επόμενου Μήνα</t>
  </si>
  <si>
    <t xml:space="preserve">Πίνακας Βασικών Δεικτών </t>
  </si>
  <si>
    <t>Συνολικές Πωλήσεις</t>
  </si>
  <si>
    <t>Μεγαλύτερη Πώληση</t>
  </si>
  <si>
    <t xml:space="preserve">Πλήθος Συναλλαγών: </t>
  </si>
  <si>
    <t>Πωλήσεις στο νομό Ηρακλείου</t>
  </si>
  <si>
    <t>Row Labels</t>
  </si>
  <si>
    <t>Grand Total</t>
  </si>
  <si>
    <t>Sum of Σύνολο πωλήσεων</t>
  </si>
  <si>
    <t>Average of Τιμή Μονάδας</t>
  </si>
  <si>
    <t>Max of Σύνολο πωλήσεων</t>
  </si>
  <si>
    <t>Count of Σύνολο πωλήσεων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</si>
</sst>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€-408]_-;\-* #,##0.00\ [$€-408]_-;_-* &quot;-&quot;??\ [$€-408]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numFmt numFmtId="165" formatCode="_-* #,##0.00\ [$€-408]_-;\-* #,##0.00\ [$€-408]_-;_-* &quot;-&quot;??\ [$€-408]_-;_-@_-"/>
      <alignment horizontal="center" vertical="bottom" textRotation="0" wrapText="0" indent="0" justifyLastLine="0" shrinkToFit="0" readingOrder="0"/>
    </dxf>
    <dxf>
      <numFmt numFmtId="165" formatCode="_-* #,##0.00\ [$€-408]_-;\-* #,##0.00\ [$€-408]_-;_-* &quot;-&quot;??\ [$€-408]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Προϊον Α</c:v>
              </c:pt>
              <c:pt idx="1">
                <c:v>Προϊον Β</c:v>
              </c:pt>
              <c:pt idx="2">
                <c:v>Προϊον Γ</c:v>
              </c:pt>
              <c:pt idx="3">
                <c:v>Προϊον Δ</c:v>
              </c:pt>
              <c:pt idx="4">
                <c:v>Υπηρεσία Α</c:v>
              </c:pt>
              <c:pt idx="5">
                <c:v>Υπηρεσία Β</c:v>
              </c:pt>
              <c:pt idx="6">
                <c:v>Υπηρεσία Γ</c:v>
              </c:pt>
            </c:strLit>
          </c:cat>
          <c:val>
            <c:numLit>
              <c:formatCode>General</c:formatCode>
              <c:ptCount val="7"/>
              <c:pt idx="0">
                <c:v>553817</c:v>
              </c:pt>
              <c:pt idx="1">
                <c:v>303596</c:v>
              </c:pt>
              <c:pt idx="2">
                <c:v>514390</c:v>
              </c:pt>
              <c:pt idx="3">
                <c:v>266612</c:v>
              </c:pt>
              <c:pt idx="4">
                <c:v>456440</c:v>
              </c:pt>
              <c:pt idx="5">
                <c:v>347393</c:v>
              </c:pt>
              <c:pt idx="6">
                <c:v>351172</c:v>
              </c:pt>
            </c:numLit>
          </c:val>
          <c:extLst>
            <c:ext xmlns:c16="http://schemas.microsoft.com/office/drawing/2014/chart" uri="{C3380CC4-5D6E-409C-BE32-E72D297353CC}">
              <c16:uniqueId val="{00000002-56D4-45D7-8CF7-81570879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12335"/>
        <c:axId val="202512815"/>
      </c:barChart>
      <c:catAx>
        <c:axId val="2025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2815"/>
        <c:crosses val="autoZero"/>
        <c:auto val="1"/>
        <c:lblAlgn val="ctr"/>
        <c:lblOffset val="100"/>
        <c:noMultiLvlLbl val="0"/>
      </c:catAx>
      <c:valAx>
        <c:axId val="20251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[ΑΤΟΜΙΚΗ ΕΡΓΑΣΙΑ EXCEL.xlsx]ΑΝΑΛΥΣΗ!PivotTable5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ΑΝΑΛΥΣΗ!$B$41</c:f>
              <c:strCache>
                <c:ptCount val="1"/>
                <c:pt idx="0">
                  <c:v>Max of Σύνολο πωλήσεων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ΑΝΑΛΥΣΗ!$A$42:$A$54</c:f>
              <c:strCache>
                <c:ptCount val="12"/>
                <c:pt idx="0">
                  <c:v>Απρίλιος</c:v>
                </c:pt>
                <c:pt idx="1">
                  <c:v>Αύγουστος</c:v>
                </c:pt>
                <c:pt idx="2">
                  <c:v>Δεκέμβριος</c:v>
                </c:pt>
                <c:pt idx="3">
                  <c:v>Ιανουάριος</c:v>
                </c:pt>
                <c:pt idx="4">
                  <c:v>Ιούλιος</c:v>
                </c:pt>
                <c:pt idx="5">
                  <c:v>Ιούνιος</c:v>
                </c:pt>
                <c:pt idx="6">
                  <c:v>Μάιος</c:v>
                </c:pt>
                <c:pt idx="7">
                  <c:v>Μάρτιος</c:v>
                </c:pt>
                <c:pt idx="8">
                  <c:v>Νοέμβριος</c:v>
                </c:pt>
                <c:pt idx="9">
                  <c:v>Οκτώβριος</c:v>
                </c:pt>
                <c:pt idx="10">
                  <c:v>Σεπτέμβριος</c:v>
                </c:pt>
                <c:pt idx="11">
                  <c:v>Φεβρουάριος</c:v>
                </c:pt>
              </c:strCache>
            </c:strRef>
          </c:cat>
          <c:val>
            <c:numRef>
              <c:f>ΑΝΑΛΥΣΗ!$B$42:$B$54</c:f>
              <c:numCache>
                <c:formatCode>_-* #,##0.00\ [$€-408]_-;\-* #,##0.00\ [$€-408]_-;_-* "-"??\ [$€-408]_-;_-@_-</c:formatCode>
                <c:ptCount val="12"/>
                <c:pt idx="0">
                  <c:v>63900</c:v>
                </c:pt>
                <c:pt idx="1">
                  <c:v>58110</c:v>
                </c:pt>
                <c:pt idx="2">
                  <c:v>49654</c:v>
                </c:pt>
                <c:pt idx="3">
                  <c:v>47888</c:v>
                </c:pt>
                <c:pt idx="4">
                  <c:v>70707</c:v>
                </c:pt>
                <c:pt idx="5">
                  <c:v>35040</c:v>
                </c:pt>
                <c:pt idx="6">
                  <c:v>45872</c:v>
                </c:pt>
                <c:pt idx="7">
                  <c:v>54120</c:v>
                </c:pt>
                <c:pt idx="8">
                  <c:v>35112</c:v>
                </c:pt>
                <c:pt idx="9">
                  <c:v>63510</c:v>
                </c:pt>
                <c:pt idx="10">
                  <c:v>52920</c:v>
                </c:pt>
                <c:pt idx="11">
                  <c:v>51620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3-4EC8-B8DA-94F0307A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64703"/>
        <c:axId val="241765183"/>
      </c:barChart>
      <c:lineChart>
        <c:grouping val="standard"/>
        <c:varyColors val="0"/>
        <c:ser>
          <c:idx val="1"/>
          <c:order val="1"/>
          <c:tx>
            <c:strRef>
              <c:f>ΑΝΑΛΥΣΗ!$C$41</c:f>
              <c:strCache>
                <c:ptCount val="1"/>
                <c:pt idx="0">
                  <c:v>Count of Σύνολο πωλήσεων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ΑΝΑΛΥΣΗ!$A$42:$A$54</c:f>
              <c:strCache>
                <c:ptCount val="12"/>
                <c:pt idx="0">
                  <c:v>Απρίλιος</c:v>
                </c:pt>
                <c:pt idx="1">
                  <c:v>Αύγουστος</c:v>
                </c:pt>
                <c:pt idx="2">
                  <c:v>Δεκέμβριος</c:v>
                </c:pt>
                <c:pt idx="3">
                  <c:v>Ιανουάριος</c:v>
                </c:pt>
                <c:pt idx="4">
                  <c:v>Ιούλιος</c:v>
                </c:pt>
                <c:pt idx="5">
                  <c:v>Ιούνιος</c:v>
                </c:pt>
                <c:pt idx="6">
                  <c:v>Μάιος</c:v>
                </c:pt>
                <c:pt idx="7">
                  <c:v>Μάρτιος</c:v>
                </c:pt>
                <c:pt idx="8">
                  <c:v>Νοέμβριος</c:v>
                </c:pt>
                <c:pt idx="9">
                  <c:v>Οκτώβριος</c:v>
                </c:pt>
                <c:pt idx="10">
                  <c:v>Σεπτέμβριος</c:v>
                </c:pt>
                <c:pt idx="11">
                  <c:v>Φεβρουάριος</c:v>
                </c:pt>
              </c:strCache>
            </c:strRef>
          </c:cat>
          <c:val>
            <c:numRef>
              <c:f>ΑΝΑΛΥΣΗ!$C$42:$C$54</c:f>
              <c:numCache>
                <c:formatCode>General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6</c:v>
                </c:pt>
                <c:pt idx="3">
                  <c:v>15</c:v>
                </c:pt>
                <c:pt idx="4">
                  <c:v>17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3-4EC8-B8DA-94F0307A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98767"/>
        <c:axId val="160300975"/>
      </c:lineChart>
      <c:catAx>
        <c:axId val="24176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65183"/>
        <c:crosses val="autoZero"/>
        <c:auto val="1"/>
        <c:lblAlgn val="ctr"/>
        <c:lblOffset val="100"/>
        <c:noMultiLvlLbl val="0"/>
      </c:catAx>
      <c:valAx>
        <c:axId val="2417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8]_-;\-* #,##0.00\ [$€-408]_-;_-* &quot;-&quot;??\ [$€-408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64703"/>
        <c:crosses val="autoZero"/>
        <c:crossBetween val="between"/>
      </c:valAx>
      <c:valAx>
        <c:axId val="1603009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8767"/>
        <c:crosses val="max"/>
        <c:crossBetween val="between"/>
      </c:valAx>
      <c:catAx>
        <c:axId val="16839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3009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3</xdr:row>
      <xdr:rowOff>11430</xdr:rowOff>
    </xdr:from>
    <xdr:to>
      <xdr:col>7</xdr:col>
      <xdr:colOff>99060</xdr:colOff>
      <xdr:row>18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E9CBFF-3273-E898-3288-404C71640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270510</xdr:colOff>
      <xdr:row>39</xdr:row>
      <xdr:rowOff>148590</xdr:rowOff>
    </xdr:from>
    <xdr:to>
      <xdr:col>7</xdr:col>
      <xdr:colOff>819150</xdr:colOff>
      <xdr:row>54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1B3FCD-1807-194F-9A91-ADDDBE2F3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hnik Hazizi" refreshedDate="46032.776288310182" createdVersion="8" refreshedVersion="8" minRefreshableVersion="3" recordCount="150" xr:uid="{A18169F3-68E2-4A29-9BC0-587EDD95D09B}">
  <cacheSource type="worksheet">
    <worksheetSource name="Table1"/>
  </cacheSource>
  <cacheFields count="8">
    <cacheField name="Column1" numFmtId="0">
      <sharedItems containsSemiMixedTypes="0" containsString="0" containsNumber="1" containsInteger="1" minValue="1" maxValue="150"/>
    </cacheField>
    <cacheField name="       Προϊόν" numFmtId="0">
      <sharedItems count="7">
        <s v="Προϊον Γ"/>
        <s v="Υπηρεσία Β"/>
        <s v="Προϊον Α"/>
        <s v="Υπηρεσία Γ"/>
        <s v="Προϊον Δ"/>
        <s v="Υπηρεσία Α"/>
        <s v="Προϊον Β"/>
      </sharedItems>
    </cacheField>
    <cacheField name="       Νομός" numFmtId="0">
      <sharedItems count="4">
        <s v="Χανίων"/>
        <s v="Ηρακλείου"/>
        <s v="Ρεθύμνου"/>
        <s v="Λασιθίου"/>
      </sharedItems>
    </cacheField>
    <cacheField name="       Μήνας" numFmtId="0">
      <sharedItems count="12">
        <s v="Δεκέμβριος"/>
        <s v="Αύγουστος"/>
        <s v="Μάιος"/>
        <s v="Νοέμβριος"/>
        <s v="Οκτώβριος"/>
        <s v="Φεβρουάριος"/>
        <s v="Ιούνιος"/>
        <s v="Σεπτέμβριος"/>
        <s v="Μάρτιος"/>
        <s v="Ιούλιος"/>
        <s v="Απρίλιος"/>
        <s v="Ιανουάριος"/>
      </sharedItems>
    </cacheField>
    <cacheField name="   Ποσότητα" numFmtId="0">
      <sharedItems containsSemiMixedTypes="0" containsString="0" containsNumber="1" containsInteger="1" minValue="10" maxValue="489"/>
    </cacheField>
    <cacheField name="Τιμή Μονάδας" numFmtId="0">
      <sharedItems containsSemiMixedTypes="0" containsString="0" containsNumber="1" containsInteger="1" minValue="5" maxValue="150" count="99">
        <n v="14"/>
        <n v="15"/>
        <n v="89"/>
        <n v="76"/>
        <n v="26"/>
        <n v="8"/>
        <n v="51"/>
        <n v="97"/>
        <n v="49"/>
        <n v="126"/>
        <n v="132"/>
        <n v="88"/>
        <n v="12"/>
        <n v="116"/>
        <n v="108"/>
        <n v="145"/>
        <n v="7"/>
        <n v="142"/>
        <n v="25"/>
        <n v="46"/>
        <n v="19"/>
        <n v="130"/>
        <n v="56"/>
        <n v="54"/>
        <n v="140"/>
        <n v="20"/>
        <n v="118"/>
        <n v="115"/>
        <n v="129"/>
        <n v="11"/>
        <n v="10"/>
        <n v="121"/>
        <n v="82"/>
        <n v="38"/>
        <n v="52"/>
        <n v="94"/>
        <n v="147"/>
        <n v="77"/>
        <n v="17"/>
        <n v="146"/>
        <n v="5"/>
        <n v="110"/>
        <n v="29"/>
        <n v="105"/>
        <n v="18"/>
        <n v="23"/>
        <n v="86"/>
        <n v="120"/>
        <n v="90"/>
        <n v="125"/>
        <n v="128"/>
        <n v="24"/>
        <n v="113"/>
        <n v="45"/>
        <n v="43"/>
        <n v="99"/>
        <n v="68"/>
        <n v="75"/>
        <n v="93"/>
        <n v="141"/>
        <n v="87"/>
        <n v="9"/>
        <n v="21"/>
        <n v="80"/>
        <n v="85"/>
        <n v="40"/>
        <n v="104"/>
        <n v="122"/>
        <n v="149"/>
        <n v="48"/>
        <n v="133"/>
        <n v="70"/>
        <n v="106"/>
        <n v="71"/>
        <n v="41"/>
        <n v="36"/>
        <n v="136"/>
        <n v="143"/>
        <n v="131"/>
        <n v="57"/>
        <n v="33"/>
        <n v="64"/>
        <n v="60"/>
        <n v="109"/>
        <n v="135"/>
        <n v="66"/>
        <n v="119"/>
        <n v="61"/>
        <n v="112"/>
        <n v="59"/>
        <n v="16"/>
        <n v="72"/>
        <n v="150"/>
        <n v="139"/>
        <n v="28"/>
        <n v="35"/>
        <n v="55"/>
        <n v="144"/>
        <n v="31"/>
      </sharedItems>
    </cacheField>
    <cacheField name="Σύνολο πωλήσεων" numFmtId="165">
      <sharedItems containsSemiMixedTypes="0" containsString="0" containsNumber="1" containsInteger="1" minValue="429" maxValue="70707" count="150">
        <n v="5334"/>
        <n v="2910"/>
        <n v="14507"/>
        <n v="35112"/>
        <n v="10452"/>
        <n v="2128"/>
        <n v="510"/>
        <n v="26287"/>
        <n v="13916"/>
        <n v="44352"/>
        <n v="40920"/>
        <n v="7392"/>
        <n v="52920"/>
        <n v="4896"/>
        <n v="5472"/>
        <n v="49416"/>
        <n v="15336"/>
        <n v="51620"/>
        <n v="833"/>
        <n v="22720"/>
        <n v="8675"/>
        <n v="12420"/>
        <n v="1444"/>
        <n v="33800"/>
        <n v="25760"/>
        <n v="1620"/>
        <n v="5040"/>
        <n v="20088"/>
        <n v="3460"/>
        <n v="19234"/>
        <n v="56235"/>
        <n v="13545"/>
        <n v="39440"/>
        <n v="429"/>
        <n v="4160"/>
        <n v="4114"/>
        <n v="25666"/>
        <n v="1748"/>
        <n v="18876"/>
        <n v="45872"/>
        <n v="70707"/>
        <n v="6468"/>
        <n v="2924"/>
        <n v="2270"/>
        <n v="12960"/>
        <n v="63900"/>
        <n v="12848"/>
        <n v="63510"/>
        <n v="1020"/>
        <n v="30580"/>
        <n v="11803"/>
        <n v="605"/>
        <n v="20160"/>
        <n v="6084"/>
        <n v="9062"/>
        <n v="24424"/>
        <n v="35040"/>
        <n v="5264"/>
        <n v="16125"/>
        <n v="1617"/>
        <n v="19170"/>
        <n v="4950"/>
        <n v="53125"/>
        <n v="8064"/>
        <n v="6160"/>
        <n v="42804"/>
        <n v="3792"/>
        <n v="3556"/>
        <n v="44974"/>
        <n v="9450"/>
        <n v="2838"/>
        <n v="17169"/>
        <n v="468"/>
        <n v="13167"/>
        <n v="29988"/>
        <n v="3825"/>
        <n v="8835"/>
        <n v="33699"/>
        <n v="7656"/>
        <n v="2952"/>
        <n v="32508"/>
        <n v="10854"/>
        <n v="17850"/>
        <n v="4074"/>
        <n v="3200"/>
        <n v="9840"/>
        <n v="5270"/>
        <n v="12720"/>
        <n v="20072"/>
        <n v="20995"/>
        <n v="17110"/>
        <n v="15862"/>
        <n v="49654"/>
        <n v="47888"/>
        <n v="58110"/>
        <n v="18192"/>
        <n v="40166"/>
        <n v="15680"/>
        <n v="51330"/>
        <n v="49502"/>
        <n v="14200"/>
        <n v="18778"/>
        <n v="4068"/>
        <n v="1520"/>
        <n v="480"/>
        <n v="54120"/>
        <n v="11772"/>
        <n v="6576"/>
        <n v="19448"/>
        <n v="61204"/>
        <n v="11266"/>
        <n v="4040"/>
        <n v="44416"/>
        <n v="4845"/>
        <n v="5973"/>
        <n v="8664"/>
        <n v="5280"/>
        <n v="19221"/>
        <n v="4464"/>
        <n v="15360"/>
        <n v="27000"/>
        <n v="23112"/>
        <n v="16863"/>
        <n v="11439"/>
        <n v="8374"/>
        <n v="27456"/>
        <n v="17680"/>
        <n v="40330"/>
        <n v="21330"/>
        <n v="20064"/>
        <n v="26376"/>
        <n v="24990"/>
        <n v="14240"/>
        <n v="19764"/>
        <n v="11648"/>
        <n v="10207"/>
        <n v="24436"/>
        <n v="1080"/>
        <n v="5536"/>
        <n v="2880"/>
        <n v="13068"/>
        <n v="6192"/>
        <n v="46650"/>
        <n v="21406"/>
        <n v="8932"/>
        <n v="16170"/>
        <n v="11865"/>
        <n v="7755"/>
        <n v="17568"/>
        <n v="9765"/>
      </sharedItems>
    </cacheField>
    <cacheField name="Πρόβλεψη Επόμενου Μήνα" numFmtId="165">
      <sharedItems containsSemiMixedTypes="0" containsString="0" containsNumber="1" minValue="429" maxValue="81313.04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  <n v="381"/>
    <x v="0"/>
    <x v="0"/>
    <n v="5334"/>
  </r>
  <r>
    <n v="2"/>
    <x v="1"/>
    <x v="0"/>
    <x v="1"/>
    <n v="194"/>
    <x v="1"/>
    <x v="1"/>
    <n v="3346.4999999999995"/>
  </r>
  <r>
    <n v="3"/>
    <x v="0"/>
    <x v="1"/>
    <x v="2"/>
    <n v="163"/>
    <x v="2"/>
    <x v="2"/>
    <n v="16683.05"/>
  </r>
  <r>
    <n v="4"/>
    <x v="2"/>
    <x v="0"/>
    <x v="3"/>
    <n v="462"/>
    <x v="3"/>
    <x v="3"/>
    <n v="35112"/>
  </r>
  <r>
    <n v="5"/>
    <x v="3"/>
    <x v="2"/>
    <x v="4"/>
    <n v="402"/>
    <x v="4"/>
    <x v="4"/>
    <n v="10452"/>
  </r>
  <r>
    <n v="6"/>
    <x v="4"/>
    <x v="1"/>
    <x v="4"/>
    <n v="266"/>
    <x v="5"/>
    <x v="5"/>
    <n v="2128"/>
  </r>
  <r>
    <n v="7"/>
    <x v="3"/>
    <x v="2"/>
    <x v="5"/>
    <n v="10"/>
    <x v="6"/>
    <x v="6"/>
    <n v="586.5"/>
  </r>
  <r>
    <n v="8"/>
    <x v="4"/>
    <x v="1"/>
    <x v="2"/>
    <n v="271"/>
    <x v="7"/>
    <x v="7"/>
    <n v="30230.05"/>
  </r>
  <r>
    <n v="9"/>
    <x v="0"/>
    <x v="0"/>
    <x v="5"/>
    <n v="284"/>
    <x v="8"/>
    <x v="8"/>
    <n v="16003.4"/>
  </r>
  <r>
    <n v="10"/>
    <x v="5"/>
    <x v="2"/>
    <x v="1"/>
    <n v="352"/>
    <x v="9"/>
    <x v="9"/>
    <n v="44352"/>
  </r>
  <r>
    <n v="11"/>
    <x v="5"/>
    <x v="2"/>
    <x v="1"/>
    <n v="310"/>
    <x v="10"/>
    <x v="10"/>
    <n v="40920"/>
  </r>
  <r>
    <n v="12"/>
    <x v="6"/>
    <x v="2"/>
    <x v="6"/>
    <n v="84"/>
    <x v="11"/>
    <x v="11"/>
    <n v="7392"/>
  </r>
  <r>
    <n v="13"/>
    <x v="2"/>
    <x v="3"/>
    <x v="7"/>
    <n v="420"/>
    <x v="9"/>
    <x v="12"/>
    <n v="60857.999999999993"/>
  </r>
  <r>
    <n v="14"/>
    <x v="5"/>
    <x v="3"/>
    <x v="5"/>
    <n v="408"/>
    <x v="12"/>
    <x v="13"/>
    <n v="5630.4"/>
  </r>
  <r>
    <n v="15"/>
    <x v="5"/>
    <x v="1"/>
    <x v="2"/>
    <n v="456"/>
    <x v="12"/>
    <x v="14"/>
    <n v="6292.7999999999993"/>
  </r>
  <r>
    <n v="16"/>
    <x v="5"/>
    <x v="3"/>
    <x v="1"/>
    <n v="426"/>
    <x v="13"/>
    <x v="15"/>
    <n v="49416"/>
  </r>
  <r>
    <n v="17"/>
    <x v="2"/>
    <x v="3"/>
    <x v="3"/>
    <n v="142"/>
    <x v="14"/>
    <x v="16"/>
    <n v="15336"/>
  </r>
  <r>
    <n v="18"/>
    <x v="0"/>
    <x v="3"/>
    <x v="5"/>
    <n v="356"/>
    <x v="15"/>
    <x v="17"/>
    <n v="59362.999999999993"/>
  </r>
  <r>
    <n v="19"/>
    <x v="6"/>
    <x v="0"/>
    <x v="3"/>
    <n v="119"/>
    <x v="16"/>
    <x v="18"/>
    <n v="957.94999999999993"/>
  </r>
  <r>
    <n v="20"/>
    <x v="5"/>
    <x v="2"/>
    <x v="5"/>
    <n v="160"/>
    <x v="17"/>
    <x v="19"/>
    <n v="22720"/>
  </r>
  <r>
    <n v="21"/>
    <x v="0"/>
    <x v="0"/>
    <x v="8"/>
    <n v="347"/>
    <x v="18"/>
    <x v="20"/>
    <n v="9976.25"/>
  </r>
  <r>
    <n v="22"/>
    <x v="2"/>
    <x v="3"/>
    <x v="9"/>
    <n v="270"/>
    <x v="19"/>
    <x v="21"/>
    <n v="12420"/>
  </r>
  <r>
    <n v="23"/>
    <x v="1"/>
    <x v="1"/>
    <x v="2"/>
    <n v="76"/>
    <x v="20"/>
    <x v="22"/>
    <n v="1660.6"/>
  </r>
  <r>
    <n v="24"/>
    <x v="0"/>
    <x v="2"/>
    <x v="9"/>
    <n v="260"/>
    <x v="21"/>
    <x v="23"/>
    <n v="38870"/>
  </r>
  <r>
    <n v="25"/>
    <x v="1"/>
    <x v="1"/>
    <x v="9"/>
    <n v="460"/>
    <x v="22"/>
    <x v="24"/>
    <n v="25760"/>
  </r>
  <r>
    <n v="26"/>
    <x v="3"/>
    <x v="0"/>
    <x v="4"/>
    <n v="30"/>
    <x v="23"/>
    <x v="25"/>
    <n v="1862.9999999999998"/>
  </r>
  <r>
    <n v="27"/>
    <x v="2"/>
    <x v="1"/>
    <x v="1"/>
    <n v="36"/>
    <x v="24"/>
    <x v="26"/>
    <n v="5040"/>
  </r>
  <r>
    <n v="28"/>
    <x v="1"/>
    <x v="1"/>
    <x v="5"/>
    <n v="186"/>
    <x v="14"/>
    <x v="27"/>
    <n v="23101.199999999997"/>
  </r>
  <r>
    <n v="29"/>
    <x v="5"/>
    <x v="1"/>
    <x v="9"/>
    <n v="173"/>
    <x v="25"/>
    <x v="28"/>
    <n v="3978.9999999999995"/>
  </r>
  <r>
    <n v="30"/>
    <x v="2"/>
    <x v="3"/>
    <x v="9"/>
    <n v="163"/>
    <x v="26"/>
    <x v="29"/>
    <n v="22119.1"/>
  </r>
  <r>
    <n v="31"/>
    <x v="3"/>
    <x v="1"/>
    <x v="4"/>
    <n v="489"/>
    <x v="27"/>
    <x v="30"/>
    <n v="56235"/>
  </r>
  <r>
    <n v="32"/>
    <x v="2"/>
    <x v="3"/>
    <x v="3"/>
    <n v="105"/>
    <x v="28"/>
    <x v="31"/>
    <n v="15576.749999999998"/>
  </r>
  <r>
    <n v="33"/>
    <x v="6"/>
    <x v="1"/>
    <x v="9"/>
    <n v="340"/>
    <x v="13"/>
    <x v="32"/>
    <n v="45356"/>
  </r>
  <r>
    <n v="34"/>
    <x v="0"/>
    <x v="3"/>
    <x v="4"/>
    <n v="39"/>
    <x v="29"/>
    <x v="33"/>
    <n v="429"/>
  </r>
  <r>
    <n v="35"/>
    <x v="4"/>
    <x v="1"/>
    <x v="10"/>
    <n v="416"/>
    <x v="30"/>
    <x v="34"/>
    <n v="4784"/>
  </r>
  <r>
    <n v="36"/>
    <x v="2"/>
    <x v="2"/>
    <x v="0"/>
    <n v="34"/>
    <x v="31"/>
    <x v="35"/>
    <n v="4731.0999999999995"/>
  </r>
  <r>
    <n v="37"/>
    <x v="2"/>
    <x v="3"/>
    <x v="10"/>
    <n v="313"/>
    <x v="32"/>
    <x v="36"/>
    <n v="25666"/>
  </r>
  <r>
    <n v="38"/>
    <x v="2"/>
    <x v="3"/>
    <x v="9"/>
    <n v="46"/>
    <x v="33"/>
    <x v="37"/>
    <n v="1748"/>
  </r>
  <r>
    <n v="39"/>
    <x v="6"/>
    <x v="1"/>
    <x v="3"/>
    <n v="363"/>
    <x v="34"/>
    <x v="38"/>
    <n v="18876"/>
  </r>
  <r>
    <n v="40"/>
    <x v="0"/>
    <x v="3"/>
    <x v="2"/>
    <n v="488"/>
    <x v="35"/>
    <x v="39"/>
    <n v="52752.799999999996"/>
  </r>
  <r>
    <n v="41"/>
    <x v="0"/>
    <x v="3"/>
    <x v="9"/>
    <n v="481"/>
    <x v="36"/>
    <x v="40"/>
    <n v="81313.049999999988"/>
  </r>
  <r>
    <n v="42"/>
    <x v="2"/>
    <x v="3"/>
    <x v="10"/>
    <n v="84"/>
    <x v="37"/>
    <x v="41"/>
    <n v="6468"/>
  </r>
  <r>
    <n v="43"/>
    <x v="0"/>
    <x v="0"/>
    <x v="5"/>
    <n v="172"/>
    <x v="38"/>
    <x v="42"/>
    <n v="3362.6"/>
  </r>
  <r>
    <n v="44"/>
    <x v="3"/>
    <x v="0"/>
    <x v="1"/>
    <n v="227"/>
    <x v="30"/>
    <x v="43"/>
    <n v="2610.5"/>
  </r>
  <r>
    <n v="45"/>
    <x v="1"/>
    <x v="1"/>
    <x v="7"/>
    <n v="120"/>
    <x v="14"/>
    <x v="44"/>
    <n v="12960"/>
  </r>
  <r>
    <n v="46"/>
    <x v="2"/>
    <x v="3"/>
    <x v="10"/>
    <n v="450"/>
    <x v="17"/>
    <x v="45"/>
    <n v="73485"/>
  </r>
  <r>
    <n v="47"/>
    <x v="2"/>
    <x v="0"/>
    <x v="10"/>
    <n v="88"/>
    <x v="39"/>
    <x v="46"/>
    <n v="14775.199999999999"/>
  </r>
  <r>
    <n v="48"/>
    <x v="0"/>
    <x v="2"/>
    <x v="4"/>
    <n v="435"/>
    <x v="39"/>
    <x v="47"/>
    <n v="73036.5"/>
  </r>
  <r>
    <n v="49"/>
    <x v="2"/>
    <x v="0"/>
    <x v="11"/>
    <n v="204"/>
    <x v="40"/>
    <x v="48"/>
    <n v="1020"/>
  </r>
  <r>
    <n v="50"/>
    <x v="4"/>
    <x v="0"/>
    <x v="9"/>
    <n v="278"/>
    <x v="41"/>
    <x v="49"/>
    <n v="35167"/>
  </r>
  <r>
    <n v="51"/>
    <x v="6"/>
    <x v="3"/>
    <x v="10"/>
    <n v="407"/>
    <x v="42"/>
    <x v="50"/>
    <n v="11803"/>
  </r>
  <r>
    <n v="52"/>
    <x v="4"/>
    <x v="3"/>
    <x v="11"/>
    <n v="121"/>
    <x v="40"/>
    <x v="51"/>
    <n v="605"/>
  </r>
  <r>
    <n v="53"/>
    <x v="5"/>
    <x v="1"/>
    <x v="9"/>
    <n v="192"/>
    <x v="43"/>
    <x v="52"/>
    <n v="23184"/>
  </r>
  <r>
    <n v="54"/>
    <x v="5"/>
    <x v="1"/>
    <x v="3"/>
    <n v="338"/>
    <x v="44"/>
    <x v="53"/>
    <n v="6084"/>
  </r>
  <r>
    <n v="55"/>
    <x v="6"/>
    <x v="2"/>
    <x v="10"/>
    <n v="394"/>
    <x v="45"/>
    <x v="54"/>
    <n v="9062"/>
  </r>
  <r>
    <n v="56"/>
    <x v="4"/>
    <x v="1"/>
    <x v="4"/>
    <n v="284"/>
    <x v="46"/>
    <x v="55"/>
    <n v="24424"/>
  </r>
  <r>
    <n v="57"/>
    <x v="3"/>
    <x v="3"/>
    <x v="6"/>
    <n v="292"/>
    <x v="47"/>
    <x v="56"/>
    <n v="35040"/>
  </r>
  <r>
    <n v="58"/>
    <x v="4"/>
    <x v="3"/>
    <x v="1"/>
    <n v="56"/>
    <x v="35"/>
    <x v="57"/>
    <n v="5264"/>
  </r>
  <r>
    <n v="59"/>
    <x v="3"/>
    <x v="3"/>
    <x v="6"/>
    <n v="125"/>
    <x v="28"/>
    <x v="58"/>
    <n v="18543.75"/>
  </r>
  <r>
    <n v="60"/>
    <x v="5"/>
    <x v="2"/>
    <x v="1"/>
    <n v="33"/>
    <x v="8"/>
    <x v="59"/>
    <n v="1859.55"/>
  </r>
  <r>
    <n v="61"/>
    <x v="0"/>
    <x v="2"/>
    <x v="6"/>
    <n v="213"/>
    <x v="48"/>
    <x v="60"/>
    <n v="22045.5"/>
  </r>
  <r>
    <n v="62"/>
    <x v="5"/>
    <x v="2"/>
    <x v="7"/>
    <n v="55"/>
    <x v="48"/>
    <x v="61"/>
    <n v="4950"/>
  </r>
  <r>
    <n v="63"/>
    <x v="1"/>
    <x v="3"/>
    <x v="8"/>
    <n v="425"/>
    <x v="49"/>
    <x v="62"/>
    <n v="53125"/>
  </r>
  <r>
    <n v="64"/>
    <x v="5"/>
    <x v="3"/>
    <x v="5"/>
    <n v="63"/>
    <x v="50"/>
    <x v="63"/>
    <n v="8064"/>
  </r>
  <r>
    <n v="65"/>
    <x v="0"/>
    <x v="3"/>
    <x v="8"/>
    <n v="56"/>
    <x v="41"/>
    <x v="64"/>
    <n v="7083.9999999999991"/>
  </r>
  <r>
    <n v="66"/>
    <x v="5"/>
    <x v="3"/>
    <x v="5"/>
    <n v="369"/>
    <x v="13"/>
    <x v="65"/>
    <n v="49224.6"/>
  </r>
  <r>
    <n v="67"/>
    <x v="6"/>
    <x v="1"/>
    <x v="11"/>
    <n v="158"/>
    <x v="51"/>
    <x v="66"/>
    <n v="4360.7999999999993"/>
  </r>
  <r>
    <n v="68"/>
    <x v="5"/>
    <x v="1"/>
    <x v="0"/>
    <n v="254"/>
    <x v="0"/>
    <x v="67"/>
    <n v="3556"/>
  </r>
  <r>
    <n v="69"/>
    <x v="1"/>
    <x v="1"/>
    <x v="11"/>
    <n v="398"/>
    <x v="52"/>
    <x v="68"/>
    <n v="51720.1"/>
  </r>
  <r>
    <n v="70"/>
    <x v="2"/>
    <x v="0"/>
    <x v="6"/>
    <n v="210"/>
    <x v="53"/>
    <x v="69"/>
    <n v="9450"/>
  </r>
  <r>
    <n v="71"/>
    <x v="6"/>
    <x v="3"/>
    <x v="6"/>
    <n v="66"/>
    <x v="54"/>
    <x v="70"/>
    <n v="3263.7"/>
  </r>
  <r>
    <n v="72"/>
    <x v="5"/>
    <x v="2"/>
    <x v="4"/>
    <n v="177"/>
    <x v="7"/>
    <x v="71"/>
    <n v="19744.349999999999"/>
  </r>
  <r>
    <n v="73"/>
    <x v="6"/>
    <x v="2"/>
    <x v="5"/>
    <n v="39"/>
    <x v="12"/>
    <x v="72"/>
    <n v="468"/>
  </r>
  <r>
    <n v="74"/>
    <x v="4"/>
    <x v="2"/>
    <x v="5"/>
    <n v="133"/>
    <x v="55"/>
    <x v="73"/>
    <n v="13167"/>
  </r>
  <r>
    <n v="75"/>
    <x v="3"/>
    <x v="0"/>
    <x v="1"/>
    <n v="441"/>
    <x v="56"/>
    <x v="74"/>
    <n v="29988"/>
  </r>
  <r>
    <n v="76"/>
    <x v="0"/>
    <x v="0"/>
    <x v="1"/>
    <n v="51"/>
    <x v="57"/>
    <x v="75"/>
    <n v="4398.75"/>
  </r>
  <r>
    <n v="77"/>
    <x v="4"/>
    <x v="3"/>
    <x v="8"/>
    <n v="95"/>
    <x v="58"/>
    <x v="76"/>
    <n v="8835"/>
  </r>
  <r>
    <n v="78"/>
    <x v="6"/>
    <x v="0"/>
    <x v="1"/>
    <n v="239"/>
    <x v="59"/>
    <x v="77"/>
    <n v="33699"/>
  </r>
  <r>
    <n v="79"/>
    <x v="1"/>
    <x v="2"/>
    <x v="5"/>
    <n v="88"/>
    <x v="60"/>
    <x v="78"/>
    <n v="8804.4"/>
  </r>
  <r>
    <n v="80"/>
    <x v="0"/>
    <x v="3"/>
    <x v="8"/>
    <n v="328"/>
    <x v="61"/>
    <x v="79"/>
    <n v="3394.7999999999997"/>
  </r>
  <r>
    <n v="81"/>
    <x v="6"/>
    <x v="0"/>
    <x v="6"/>
    <n v="258"/>
    <x v="9"/>
    <x v="80"/>
    <n v="32508"/>
  </r>
  <r>
    <n v="82"/>
    <x v="0"/>
    <x v="2"/>
    <x v="9"/>
    <n v="201"/>
    <x v="23"/>
    <x v="81"/>
    <n v="10854"/>
  </r>
  <r>
    <n v="83"/>
    <x v="5"/>
    <x v="1"/>
    <x v="11"/>
    <n v="170"/>
    <x v="43"/>
    <x v="82"/>
    <n v="20527.5"/>
  </r>
  <r>
    <n v="84"/>
    <x v="2"/>
    <x v="0"/>
    <x v="2"/>
    <n v="194"/>
    <x v="62"/>
    <x v="83"/>
    <n v="4074"/>
  </r>
  <r>
    <n v="85"/>
    <x v="4"/>
    <x v="1"/>
    <x v="11"/>
    <n v="40"/>
    <x v="63"/>
    <x v="84"/>
    <n v="3200"/>
  </r>
  <r>
    <n v="86"/>
    <x v="2"/>
    <x v="2"/>
    <x v="0"/>
    <n v="123"/>
    <x v="63"/>
    <x v="85"/>
    <n v="9840"/>
  </r>
  <r>
    <n v="87"/>
    <x v="5"/>
    <x v="1"/>
    <x v="8"/>
    <n v="62"/>
    <x v="64"/>
    <x v="86"/>
    <n v="6060.4999999999991"/>
  </r>
  <r>
    <n v="88"/>
    <x v="2"/>
    <x v="3"/>
    <x v="9"/>
    <n v="318"/>
    <x v="65"/>
    <x v="87"/>
    <n v="12720"/>
  </r>
  <r>
    <n v="89"/>
    <x v="2"/>
    <x v="1"/>
    <x v="10"/>
    <n v="193"/>
    <x v="66"/>
    <x v="88"/>
    <n v="23082.799999999999"/>
  </r>
  <r>
    <n v="90"/>
    <x v="1"/>
    <x v="3"/>
    <x v="7"/>
    <n v="247"/>
    <x v="64"/>
    <x v="89"/>
    <n v="20995"/>
  </r>
  <r>
    <n v="91"/>
    <x v="2"/>
    <x v="3"/>
    <x v="8"/>
    <n v="118"/>
    <x v="15"/>
    <x v="90"/>
    <n v="17110"/>
  </r>
  <r>
    <n v="92"/>
    <x v="4"/>
    <x v="1"/>
    <x v="10"/>
    <n v="206"/>
    <x v="37"/>
    <x v="91"/>
    <n v="15862"/>
  </r>
  <r>
    <n v="93"/>
    <x v="3"/>
    <x v="0"/>
    <x v="0"/>
    <n v="407"/>
    <x v="67"/>
    <x v="92"/>
    <n v="57102.1"/>
  </r>
  <r>
    <n v="94"/>
    <x v="2"/>
    <x v="3"/>
    <x v="11"/>
    <n v="328"/>
    <x v="39"/>
    <x v="93"/>
    <n v="55071.199999999997"/>
  </r>
  <r>
    <n v="95"/>
    <x v="1"/>
    <x v="3"/>
    <x v="1"/>
    <n v="390"/>
    <x v="68"/>
    <x v="94"/>
    <n v="58110"/>
  </r>
  <r>
    <n v="96"/>
    <x v="2"/>
    <x v="3"/>
    <x v="10"/>
    <n v="379"/>
    <x v="69"/>
    <x v="95"/>
    <n v="18192"/>
  </r>
  <r>
    <n v="97"/>
    <x v="3"/>
    <x v="0"/>
    <x v="7"/>
    <n v="302"/>
    <x v="70"/>
    <x v="96"/>
    <n v="46190.899999999994"/>
  </r>
  <r>
    <n v="98"/>
    <x v="6"/>
    <x v="1"/>
    <x v="9"/>
    <n v="224"/>
    <x v="71"/>
    <x v="97"/>
    <n v="15680"/>
  </r>
  <r>
    <n v="99"/>
    <x v="2"/>
    <x v="2"/>
    <x v="8"/>
    <n v="354"/>
    <x v="15"/>
    <x v="98"/>
    <n v="59029.499999999993"/>
  </r>
  <r>
    <n v="100"/>
    <x v="0"/>
    <x v="2"/>
    <x v="4"/>
    <n v="467"/>
    <x v="72"/>
    <x v="99"/>
    <n v="56927.299999999996"/>
  </r>
  <r>
    <n v="101"/>
    <x v="6"/>
    <x v="2"/>
    <x v="7"/>
    <n v="200"/>
    <x v="73"/>
    <x v="100"/>
    <n v="14200"/>
  </r>
  <r>
    <n v="102"/>
    <x v="6"/>
    <x v="1"/>
    <x v="2"/>
    <n v="458"/>
    <x v="74"/>
    <x v="101"/>
    <n v="21594.699999999997"/>
  </r>
  <r>
    <n v="103"/>
    <x v="0"/>
    <x v="3"/>
    <x v="2"/>
    <n v="339"/>
    <x v="12"/>
    <x v="102"/>
    <n v="4678.2"/>
  </r>
  <r>
    <n v="104"/>
    <x v="5"/>
    <x v="1"/>
    <x v="11"/>
    <n v="304"/>
    <x v="40"/>
    <x v="103"/>
    <n v="1520"/>
  </r>
  <r>
    <n v="105"/>
    <x v="3"/>
    <x v="0"/>
    <x v="7"/>
    <n v="60"/>
    <x v="5"/>
    <x v="104"/>
    <n v="480"/>
  </r>
  <r>
    <n v="106"/>
    <x v="4"/>
    <x v="0"/>
    <x v="8"/>
    <n v="451"/>
    <x v="47"/>
    <x v="105"/>
    <n v="54120"/>
  </r>
  <r>
    <n v="107"/>
    <x v="6"/>
    <x v="3"/>
    <x v="10"/>
    <n v="327"/>
    <x v="75"/>
    <x v="106"/>
    <n v="11772"/>
  </r>
  <r>
    <n v="108"/>
    <x v="5"/>
    <x v="0"/>
    <x v="4"/>
    <n v="137"/>
    <x v="69"/>
    <x v="107"/>
    <n v="7562.4"/>
  </r>
  <r>
    <n v="109"/>
    <x v="6"/>
    <x v="2"/>
    <x v="9"/>
    <n v="143"/>
    <x v="76"/>
    <x v="108"/>
    <n v="19448"/>
  </r>
  <r>
    <n v="110"/>
    <x v="0"/>
    <x v="3"/>
    <x v="10"/>
    <n v="428"/>
    <x v="77"/>
    <x v="109"/>
    <n v="70384.599999999991"/>
  </r>
  <r>
    <n v="111"/>
    <x v="1"/>
    <x v="2"/>
    <x v="7"/>
    <n v="86"/>
    <x v="78"/>
    <x v="110"/>
    <n v="11266"/>
  </r>
  <r>
    <n v="112"/>
    <x v="6"/>
    <x v="1"/>
    <x v="5"/>
    <n v="202"/>
    <x v="25"/>
    <x v="111"/>
    <n v="4040"/>
  </r>
  <r>
    <n v="113"/>
    <x v="1"/>
    <x v="0"/>
    <x v="1"/>
    <n v="347"/>
    <x v="50"/>
    <x v="112"/>
    <n v="44416"/>
  </r>
  <r>
    <n v="114"/>
    <x v="2"/>
    <x v="3"/>
    <x v="5"/>
    <n v="85"/>
    <x v="79"/>
    <x v="113"/>
    <n v="5571.75"/>
  </r>
  <r>
    <n v="115"/>
    <x v="4"/>
    <x v="1"/>
    <x v="2"/>
    <n v="181"/>
    <x v="80"/>
    <x v="114"/>
    <n v="5973"/>
  </r>
  <r>
    <n v="116"/>
    <x v="5"/>
    <x v="2"/>
    <x v="7"/>
    <n v="456"/>
    <x v="20"/>
    <x v="115"/>
    <n v="8664"/>
  </r>
  <r>
    <n v="117"/>
    <x v="5"/>
    <x v="0"/>
    <x v="6"/>
    <n v="44"/>
    <x v="47"/>
    <x v="116"/>
    <n v="6071.9999999999991"/>
  </r>
  <r>
    <n v="118"/>
    <x v="2"/>
    <x v="2"/>
    <x v="4"/>
    <n v="149"/>
    <x v="28"/>
    <x v="117"/>
    <n v="22104.149999999998"/>
  </r>
  <r>
    <n v="119"/>
    <x v="5"/>
    <x v="0"/>
    <x v="0"/>
    <n v="186"/>
    <x v="51"/>
    <x v="118"/>
    <n v="5133.5999999999995"/>
  </r>
  <r>
    <n v="120"/>
    <x v="4"/>
    <x v="2"/>
    <x v="9"/>
    <n v="240"/>
    <x v="81"/>
    <x v="119"/>
    <n v="17664"/>
  </r>
  <r>
    <n v="121"/>
    <x v="6"/>
    <x v="3"/>
    <x v="7"/>
    <n v="450"/>
    <x v="82"/>
    <x v="120"/>
    <n v="27000"/>
  </r>
  <r>
    <n v="122"/>
    <x v="3"/>
    <x v="0"/>
    <x v="2"/>
    <n v="214"/>
    <x v="14"/>
    <x v="121"/>
    <n v="26578.799999999999"/>
  </r>
  <r>
    <n v="123"/>
    <x v="5"/>
    <x v="3"/>
    <x v="7"/>
    <n v="219"/>
    <x v="37"/>
    <x v="122"/>
    <n v="16863"/>
  </r>
  <r>
    <n v="124"/>
    <x v="0"/>
    <x v="2"/>
    <x v="1"/>
    <n v="123"/>
    <x v="58"/>
    <x v="123"/>
    <n v="11439"/>
  </r>
  <r>
    <n v="125"/>
    <x v="6"/>
    <x v="3"/>
    <x v="11"/>
    <n v="79"/>
    <x v="72"/>
    <x v="124"/>
    <n v="9630.0999999999985"/>
  </r>
  <r>
    <n v="126"/>
    <x v="3"/>
    <x v="2"/>
    <x v="6"/>
    <n v="264"/>
    <x v="66"/>
    <x v="125"/>
    <n v="31574.399999999998"/>
  </r>
  <r>
    <n v="127"/>
    <x v="3"/>
    <x v="2"/>
    <x v="6"/>
    <n v="170"/>
    <x v="66"/>
    <x v="126"/>
    <n v="17680"/>
  </r>
  <r>
    <n v="128"/>
    <x v="5"/>
    <x v="1"/>
    <x v="11"/>
    <n v="370"/>
    <x v="83"/>
    <x v="127"/>
    <n v="46379.5"/>
  </r>
  <r>
    <n v="129"/>
    <x v="2"/>
    <x v="2"/>
    <x v="4"/>
    <n v="158"/>
    <x v="84"/>
    <x v="128"/>
    <n v="21330"/>
  </r>
  <r>
    <n v="130"/>
    <x v="4"/>
    <x v="2"/>
    <x v="2"/>
    <n v="304"/>
    <x v="85"/>
    <x v="129"/>
    <n v="20064"/>
  </r>
  <r>
    <n v="131"/>
    <x v="4"/>
    <x v="2"/>
    <x v="3"/>
    <n v="471"/>
    <x v="22"/>
    <x v="130"/>
    <n v="30332.399999999998"/>
  </r>
  <r>
    <n v="132"/>
    <x v="0"/>
    <x v="1"/>
    <x v="5"/>
    <n v="210"/>
    <x v="86"/>
    <x v="131"/>
    <n v="28738.499999999996"/>
  </r>
  <r>
    <n v="133"/>
    <x v="2"/>
    <x v="2"/>
    <x v="11"/>
    <n v="160"/>
    <x v="2"/>
    <x v="132"/>
    <n v="14240"/>
  </r>
  <r>
    <n v="134"/>
    <x v="1"/>
    <x v="2"/>
    <x v="5"/>
    <n v="324"/>
    <x v="87"/>
    <x v="133"/>
    <n v="19764"/>
  </r>
  <r>
    <n v="135"/>
    <x v="2"/>
    <x v="1"/>
    <x v="10"/>
    <n v="104"/>
    <x v="88"/>
    <x v="134"/>
    <n v="11648"/>
  </r>
  <r>
    <n v="136"/>
    <x v="4"/>
    <x v="1"/>
    <x v="11"/>
    <n v="173"/>
    <x v="89"/>
    <x v="135"/>
    <n v="11738.05"/>
  </r>
  <r>
    <n v="137"/>
    <x v="3"/>
    <x v="0"/>
    <x v="8"/>
    <n v="298"/>
    <x v="32"/>
    <x v="136"/>
    <n v="24436"/>
  </r>
  <r>
    <n v="138"/>
    <x v="2"/>
    <x v="0"/>
    <x v="3"/>
    <n v="54"/>
    <x v="25"/>
    <x v="137"/>
    <n v="1080"/>
  </r>
  <r>
    <n v="139"/>
    <x v="6"/>
    <x v="0"/>
    <x v="9"/>
    <n v="346"/>
    <x v="90"/>
    <x v="138"/>
    <n v="6366.4"/>
  </r>
  <r>
    <n v="140"/>
    <x v="3"/>
    <x v="2"/>
    <x v="7"/>
    <n v="320"/>
    <x v="61"/>
    <x v="139"/>
    <n v="3311.9999999999995"/>
  </r>
  <r>
    <n v="141"/>
    <x v="3"/>
    <x v="3"/>
    <x v="7"/>
    <n v="242"/>
    <x v="23"/>
    <x v="140"/>
    <n v="15028.199999999999"/>
  </r>
  <r>
    <n v="142"/>
    <x v="6"/>
    <x v="2"/>
    <x v="2"/>
    <n v="86"/>
    <x v="91"/>
    <x v="141"/>
    <n v="6192"/>
  </r>
  <r>
    <n v="143"/>
    <x v="5"/>
    <x v="2"/>
    <x v="11"/>
    <n v="311"/>
    <x v="92"/>
    <x v="142"/>
    <n v="53647.499999999993"/>
  </r>
  <r>
    <n v="144"/>
    <x v="2"/>
    <x v="1"/>
    <x v="4"/>
    <n v="154"/>
    <x v="93"/>
    <x v="143"/>
    <n v="21406"/>
  </r>
  <r>
    <n v="145"/>
    <x v="0"/>
    <x v="2"/>
    <x v="7"/>
    <n v="319"/>
    <x v="94"/>
    <x v="144"/>
    <n v="8932"/>
  </r>
  <r>
    <n v="146"/>
    <x v="1"/>
    <x v="0"/>
    <x v="11"/>
    <n v="147"/>
    <x v="41"/>
    <x v="145"/>
    <n v="16170"/>
  </r>
  <r>
    <n v="147"/>
    <x v="6"/>
    <x v="3"/>
    <x v="9"/>
    <n v="339"/>
    <x v="95"/>
    <x v="146"/>
    <n v="11865"/>
  </r>
  <r>
    <n v="148"/>
    <x v="1"/>
    <x v="0"/>
    <x v="10"/>
    <n v="141"/>
    <x v="96"/>
    <x v="147"/>
    <n v="8918.25"/>
  </r>
  <r>
    <n v="149"/>
    <x v="5"/>
    <x v="1"/>
    <x v="11"/>
    <n v="122"/>
    <x v="97"/>
    <x v="148"/>
    <n v="17568"/>
  </r>
  <r>
    <n v="150"/>
    <x v="5"/>
    <x v="3"/>
    <x v="7"/>
    <n v="315"/>
    <x v="98"/>
    <x v="149"/>
    <n v="97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E2E0A-4A0C-4E8D-812A-8BBC24D5FBBC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B32" firstHeaderRow="1" firstDataRow="1" firstDataCol="1"/>
  <pivotFields count="8">
    <pivotField showAll="0"/>
    <pivotField axis="axisRow" showAll="0" sortType="ascending">
      <items count="8">
        <item x="2"/>
        <item x="6"/>
        <item x="0"/>
        <item x="4"/>
        <item x="5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>
      <items count="100">
        <item x="40"/>
        <item x="16"/>
        <item x="5"/>
        <item x="61"/>
        <item x="30"/>
        <item x="29"/>
        <item x="12"/>
        <item x="0"/>
        <item x="1"/>
        <item x="90"/>
        <item x="38"/>
        <item x="44"/>
        <item x="20"/>
        <item x="25"/>
        <item x="62"/>
        <item x="45"/>
        <item x="51"/>
        <item x="18"/>
        <item x="4"/>
        <item x="94"/>
        <item x="42"/>
        <item x="98"/>
        <item x="80"/>
        <item x="95"/>
        <item x="75"/>
        <item x="33"/>
        <item x="65"/>
        <item x="74"/>
        <item x="54"/>
        <item x="53"/>
        <item x="19"/>
        <item x="69"/>
        <item x="8"/>
        <item x="6"/>
        <item x="34"/>
        <item x="23"/>
        <item x="96"/>
        <item x="22"/>
        <item x="79"/>
        <item x="89"/>
        <item x="82"/>
        <item x="87"/>
        <item x="81"/>
        <item x="85"/>
        <item x="56"/>
        <item x="71"/>
        <item x="73"/>
        <item x="91"/>
        <item x="57"/>
        <item x="3"/>
        <item x="37"/>
        <item x="63"/>
        <item x="32"/>
        <item x="64"/>
        <item x="46"/>
        <item x="60"/>
        <item x="11"/>
        <item x="2"/>
        <item x="48"/>
        <item x="58"/>
        <item x="35"/>
        <item x="7"/>
        <item x="55"/>
        <item x="66"/>
        <item x="43"/>
        <item x="72"/>
        <item x="14"/>
        <item x="83"/>
        <item x="41"/>
        <item x="88"/>
        <item x="52"/>
        <item x="27"/>
        <item x="13"/>
        <item x="26"/>
        <item x="86"/>
        <item x="47"/>
        <item x="31"/>
        <item x="67"/>
        <item x="49"/>
        <item x="9"/>
        <item x="50"/>
        <item x="28"/>
        <item x="21"/>
        <item x="78"/>
        <item x="10"/>
        <item x="70"/>
        <item x="84"/>
        <item x="76"/>
        <item x="93"/>
        <item x="24"/>
        <item x="59"/>
        <item x="17"/>
        <item x="77"/>
        <item x="97"/>
        <item x="15"/>
        <item x="39"/>
        <item x="36"/>
        <item x="68"/>
        <item x="92"/>
        <item t="default"/>
      </items>
    </pivotField>
    <pivotField numFmtId="165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Τιμή Μονάδας" fld="5" subtotal="average" baseField="1" baseItem="0"/>
  </dataField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B747D-FC72-430B-980C-6DE83D8356B6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1:C54" firstHeaderRow="0" firstDataRow="1" firstDataCol="1"/>
  <pivotFields count="8">
    <pivotField showAll="0"/>
    <pivotField showAll="0">
      <items count="8">
        <item x="2"/>
        <item x="6"/>
        <item x="0"/>
        <item x="4"/>
        <item x="5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13">
        <item x="10"/>
        <item x="1"/>
        <item x="0"/>
        <item x="11"/>
        <item x="9"/>
        <item x="6"/>
        <item x="2"/>
        <item x="8"/>
        <item x="3"/>
        <item x="4"/>
        <item x="7"/>
        <item x="5"/>
        <item t="default"/>
      </items>
    </pivotField>
    <pivotField showAll="0"/>
    <pivotField showAll="0"/>
    <pivotField dataField="1" numFmtId="165" showAll="0">
      <items count="151">
        <item x="33"/>
        <item x="72"/>
        <item x="104"/>
        <item x="6"/>
        <item x="51"/>
        <item x="18"/>
        <item x="48"/>
        <item x="137"/>
        <item x="22"/>
        <item x="103"/>
        <item x="59"/>
        <item x="25"/>
        <item x="37"/>
        <item x="5"/>
        <item x="43"/>
        <item x="70"/>
        <item x="139"/>
        <item x="1"/>
        <item x="42"/>
        <item x="79"/>
        <item x="84"/>
        <item x="28"/>
        <item x="67"/>
        <item x="66"/>
        <item x="75"/>
        <item x="111"/>
        <item x="102"/>
        <item x="83"/>
        <item x="35"/>
        <item x="34"/>
        <item x="118"/>
        <item x="113"/>
        <item x="13"/>
        <item x="61"/>
        <item x="26"/>
        <item x="57"/>
        <item x="86"/>
        <item x="116"/>
        <item x="0"/>
        <item x="14"/>
        <item x="138"/>
        <item x="114"/>
        <item x="53"/>
        <item x="64"/>
        <item x="141"/>
        <item x="41"/>
        <item x="107"/>
        <item x="11"/>
        <item x="78"/>
        <item x="147"/>
        <item x="63"/>
        <item x="124"/>
        <item x="115"/>
        <item x="20"/>
        <item x="76"/>
        <item x="144"/>
        <item x="54"/>
        <item x="69"/>
        <item x="149"/>
        <item x="85"/>
        <item x="135"/>
        <item x="4"/>
        <item x="81"/>
        <item x="110"/>
        <item x="123"/>
        <item x="134"/>
        <item x="106"/>
        <item x="50"/>
        <item x="146"/>
        <item x="21"/>
        <item x="87"/>
        <item x="46"/>
        <item x="44"/>
        <item x="140"/>
        <item x="73"/>
        <item x="31"/>
        <item x="8"/>
        <item x="100"/>
        <item x="132"/>
        <item x="2"/>
        <item x="16"/>
        <item x="119"/>
        <item x="97"/>
        <item x="91"/>
        <item x="58"/>
        <item x="145"/>
        <item x="122"/>
        <item x="90"/>
        <item x="71"/>
        <item x="148"/>
        <item x="126"/>
        <item x="82"/>
        <item x="95"/>
        <item x="101"/>
        <item x="38"/>
        <item x="60"/>
        <item x="117"/>
        <item x="29"/>
        <item x="108"/>
        <item x="133"/>
        <item x="129"/>
        <item x="88"/>
        <item x="27"/>
        <item x="52"/>
        <item x="89"/>
        <item x="128"/>
        <item x="143"/>
        <item x="19"/>
        <item x="121"/>
        <item x="55"/>
        <item x="136"/>
        <item x="131"/>
        <item x="36"/>
        <item x="24"/>
        <item x="7"/>
        <item x="130"/>
        <item x="120"/>
        <item x="125"/>
        <item x="74"/>
        <item x="49"/>
        <item x="80"/>
        <item x="77"/>
        <item x="23"/>
        <item x="56"/>
        <item x="3"/>
        <item x="32"/>
        <item x="96"/>
        <item x="127"/>
        <item x="10"/>
        <item x="65"/>
        <item x="9"/>
        <item x="112"/>
        <item x="68"/>
        <item x="39"/>
        <item x="142"/>
        <item x="93"/>
        <item x="15"/>
        <item x="99"/>
        <item x="92"/>
        <item x="98"/>
        <item x="17"/>
        <item x="12"/>
        <item x="62"/>
        <item x="105"/>
        <item x="30"/>
        <item x="94"/>
        <item x="109"/>
        <item x="47"/>
        <item x="45"/>
        <item x="40"/>
        <item t="default"/>
      </items>
    </pivotField>
    <pivotField numFmtId="165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Σύνολο πωλήσεων" fld="6" subtotal="max" baseField="3" baseItem="0" numFmtId="165"/>
    <dataField name="Count of Σύνολο πωλήσεων" fld="6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AC255-1015-4C31-83B6-1A5C4A0768DC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:E30" firstHeaderRow="1" firstDataRow="1" firstDataCol="1"/>
  <pivotFields count="8">
    <pivotField showAll="0"/>
    <pivotField showAll="0">
      <items count="8">
        <item x="2"/>
        <item x="6"/>
        <item x="0"/>
        <item x="4"/>
        <item x="5"/>
        <item x="1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>
      <items count="100">
        <item x="40"/>
        <item x="16"/>
        <item x="5"/>
        <item x="61"/>
        <item x="30"/>
        <item x="29"/>
        <item x="12"/>
        <item x="0"/>
        <item x="1"/>
        <item x="90"/>
        <item x="38"/>
        <item x="44"/>
        <item x="20"/>
        <item x="25"/>
        <item x="62"/>
        <item x="45"/>
        <item x="51"/>
        <item x="18"/>
        <item x="4"/>
        <item x="94"/>
        <item x="42"/>
        <item x="98"/>
        <item x="80"/>
        <item x="95"/>
        <item x="75"/>
        <item x="33"/>
        <item x="65"/>
        <item x="74"/>
        <item x="54"/>
        <item x="53"/>
        <item x="19"/>
        <item x="69"/>
        <item x="8"/>
        <item x="6"/>
        <item x="34"/>
        <item x="23"/>
        <item x="96"/>
        <item x="22"/>
        <item x="79"/>
        <item x="89"/>
        <item x="82"/>
        <item x="87"/>
        <item x="81"/>
        <item x="85"/>
        <item x="56"/>
        <item x="71"/>
        <item x="73"/>
        <item x="91"/>
        <item x="57"/>
        <item x="3"/>
        <item x="37"/>
        <item x="63"/>
        <item x="32"/>
        <item x="64"/>
        <item x="46"/>
        <item x="60"/>
        <item x="11"/>
        <item x="2"/>
        <item x="48"/>
        <item x="58"/>
        <item x="35"/>
        <item x="7"/>
        <item x="55"/>
        <item x="66"/>
        <item x="43"/>
        <item x="72"/>
        <item x="14"/>
        <item x="83"/>
        <item x="41"/>
        <item x="88"/>
        <item x="52"/>
        <item x="27"/>
        <item x="13"/>
        <item x="26"/>
        <item x="86"/>
        <item x="47"/>
        <item x="31"/>
        <item x="67"/>
        <item x="49"/>
        <item x="9"/>
        <item x="50"/>
        <item x="28"/>
        <item x="21"/>
        <item x="78"/>
        <item x="10"/>
        <item x="70"/>
        <item x="84"/>
        <item x="76"/>
        <item x="93"/>
        <item x="24"/>
        <item x="59"/>
        <item x="17"/>
        <item x="77"/>
        <item x="97"/>
        <item x="15"/>
        <item x="39"/>
        <item x="36"/>
        <item x="68"/>
        <item x="92"/>
        <item t="default"/>
      </items>
    </pivotField>
    <pivotField numFmtId="165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Τιμή Μονάδας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6BAF0-831C-4368-8417-6D58EF6E0BE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4" firstHeaderRow="1" firstDataRow="1" firstDataCol="1"/>
  <pivotFields count="8">
    <pivotField showAll="0"/>
    <pivotField axis="axisRow" showAll="0">
      <items count="8">
        <item x="2"/>
        <item x="6"/>
        <item x="0"/>
        <item x="4"/>
        <item x="5"/>
        <item x="1"/>
        <item x="3"/>
        <item t="default"/>
      </items>
    </pivotField>
    <pivotField showAll="0"/>
    <pivotField showAll="0"/>
    <pivotField showAll="0"/>
    <pivotField showAll="0"/>
    <pivotField dataField="1" numFmtId="165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Σύνολο πωλήσεων" fld="6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F0281-47CE-47C2-AD9A-3004FF59D328}" name="Table1" displayName="Table1" ref="A1:H151" totalsRowShown="0" headerRowDxfId="8">
  <autoFilter ref="A1:H151" xr:uid="{CB5F0281-47CE-47C2-AD9A-3004FF59D328}"/>
  <tableColumns count="8">
    <tableColumn id="1" xr3:uid="{6891CB16-0055-494C-AC13-2D3CE4577519}" name="Column1" dataDxfId="7"/>
    <tableColumn id="2" xr3:uid="{FDB5EA3A-4F51-40AC-8604-89A4E326D87A}" name="       Προϊόν">
      <calculatedColumnFormula array="1">INDEX(ΛΙΣΤΕΣ!$A$2:$A$8, RANDBETWEEN(1, COUNTA(ΛΙΣΤΕΣ!$A$2:$A$8)))</calculatedColumnFormula>
    </tableColumn>
    <tableColumn id="3" xr3:uid="{B0AB0DAB-10CE-4EB7-A830-5D86C6206828}" name="       Νομός">
      <calculatedColumnFormula array="1">INDEX(ΛΙΣΤΕΣ!$B$2:$B$5, RANDBETWEEN(1, COUNTA(ΛΙΣΤΕΣ!$B$2:$B$5)))</calculatedColumnFormula>
    </tableColumn>
    <tableColumn id="4" xr3:uid="{3F2E5A54-C797-404D-8048-416920E57F51}" name="       Μήνας">
      <calculatedColumnFormula array="1">INDEX(ΛΙΣΤΕΣ!$C$2:$C$13, RANDBETWEEN(1, COUNTA(ΛΙΣΤΕΣ!$C$2:$C$13)))</calculatedColumnFormula>
    </tableColumn>
    <tableColumn id="5" xr3:uid="{28ED24BB-89B5-4326-9A0A-8CCF1D6EABBC}" name="   Ποσότητα" dataDxfId="6">
      <calculatedColumnFormula>RANDBETWEEN(10, 500)</calculatedColumnFormula>
    </tableColumn>
    <tableColumn id="6" xr3:uid="{985689BB-D02B-429C-B9C0-D69DFC35D11A}" name="Τιμή Μονάδας" dataDxfId="5">
      <calculatedColumnFormula>RANDBETWEEN(5, 150)</calculatedColumnFormula>
    </tableColumn>
    <tableColumn id="7" xr3:uid="{CA75CEDD-7F11-47E0-A27F-FE9CB245A811}" name="Σύνολο πωλήσεων" dataDxfId="3">
      <calculatedColumnFormula>E2*F2</calculatedColumnFormula>
    </tableColumn>
    <tableColumn id="8" xr3:uid="{50B8325B-4118-488A-B85B-1501FC5C2D43}" name="Πρόβλεψη Επόμενου Μήνα" dataDxfId="4">
      <calculatedColumnFormula>G2*( 1 + 15% * RANDBETWEEN(0,1))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C4E01D-09A7-4549-8354-2A412DE41C04}" name="Table4" displayName="Table4" ref="L1:L5" totalsRowShown="0" headerRowDxfId="2">
  <autoFilter ref="L1:L5" xr:uid="{68C4E01D-09A7-4549-8354-2A412DE41C04}"/>
  <tableColumns count="1">
    <tableColumn id="1" xr3:uid="{0FDDDB2B-7A25-4C30-86DB-8A9798C45DD3}" name="Πίνακας Βασικών Δεικτών 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E19" sqref="E19"/>
    </sheetView>
  </sheetViews>
  <sheetFormatPr defaultRowHeight="14.4" x14ac:dyDescent="0.3"/>
  <cols>
    <col min="1" max="1" width="28" bestFit="1" customWidth="1"/>
    <col min="2" max="2" width="27.33203125" bestFit="1" customWidth="1"/>
    <col min="3" max="3" width="11.5546875" bestFit="1" customWidth="1"/>
    <col min="7" max="7" width="28.5546875" bestFit="1" customWidth="1"/>
  </cols>
  <sheetData>
    <row r="1" spans="1:7" x14ac:dyDescent="0.3">
      <c r="A1" s="3" t="s">
        <v>18</v>
      </c>
      <c r="B1" s="3" t="s">
        <v>14</v>
      </c>
      <c r="C1" s="3" t="s">
        <v>0</v>
      </c>
    </row>
    <row r="2" spans="1:7" x14ac:dyDescent="0.3">
      <c r="A2" s="4" t="s">
        <v>19</v>
      </c>
      <c r="B2" s="4" t="s">
        <v>15</v>
      </c>
      <c r="C2" s="4" t="s">
        <v>1</v>
      </c>
    </row>
    <row r="3" spans="1:7" ht="27" x14ac:dyDescent="0.3">
      <c r="A3" s="4" t="s">
        <v>20</v>
      </c>
      <c r="B3" s="4" t="s">
        <v>16</v>
      </c>
      <c r="C3" s="4" t="s">
        <v>2</v>
      </c>
    </row>
    <row r="4" spans="1:7" x14ac:dyDescent="0.3">
      <c r="A4" s="4" t="s">
        <v>21</v>
      </c>
      <c r="B4" s="4" t="s">
        <v>17</v>
      </c>
      <c r="C4" s="4" t="s">
        <v>3</v>
      </c>
    </row>
    <row r="5" spans="1:7" x14ac:dyDescent="0.3">
      <c r="A5" s="4" t="s">
        <v>25</v>
      </c>
      <c r="B5" s="4" t="s">
        <v>26</v>
      </c>
      <c r="C5" s="4" t="s">
        <v>4</v>
      </c>
    </row>
    <row r="6" spans="1:7" x14ac:dyDescent="0.3">
      <c r="A6" s="4" t="s">
        <v>22</v>
      </c>
      <c r="B6" s="2"/>
      <c r="C6" s="4" t="s">
        <v>5</v>
      </c>
      <c r="G6" s="1"/>
    </row>
    <row r="7" spans="1:7" x14ac:dyDescent="0.3">
      <c r="A7" s="4" t="s">
        <v>23</v>
      </c>
      <c r="B7" s="2"/>
      <c r="C7" s="4" t="s">
        <v>6</v>
      </c>
      <c r="G7" s="1"/>
    </row>
    <row r="8" spans="1:7" x14ac:dyDescent="0.3">
      <c r="A8" s="4" t="s">
        <v>24</v>
      </c>
      <c r="B8" s="2"/>
      <c r="C8" s="4" t="s">
        <v>7</v>
      </c>
      <c r="G8" s="1"/>
    </row>
    <row r="9" spans="1:7" x14ac:dyDescent="0.3">
      <c r="B9" s="2"/>
      <c r="C9" s="4" t="s">
        <v>8</v>
      </c>
      <c r="G9" s="1"/>
    </row>
    <row r="10" spans="1:7" x14ac:dyDescent="0.3">
      <c r="B10" s="2"/>
      <c r="C10" s="4" t="s">
        <v>9</v>
      </c>
      <c r="G10" s="1"/>
    </row>
    <row r="11" spans="1:7" x14ac:dyDescent="0.3">
      <c r="B11" s="2"/>
      <c r="C11" s="4" t="s">
        <v>10</v>
      </c>
      <c r="G11" s="1"/>
    </row>
    <row r="12" spans="1:7" x14ac:dyDescent="0.3">
      <c r="B12" s="2"/>
      <c r="C12" s="4" t="s">
        <v>11</v>
      </c>
      <c r="G12" s="1"/>
    </row>
    <row r="13" spans="1:7" x14ac:dyDescent="0.3">
      <c r="B13" s="2"/>
      <c r="C13" s="4" t="s">
        <v>12</v>
      </c>
      <c r="G13" s="1"/>
    </row>
    <row r="14" spans="1:7" x14ac:dyDescent="0.3">
      <c r="B14" s="2"/>
      <c r="G14" s="1"/>
    </row>
    <row r="15" spans="1:7" x14ac:dyDescent="0.3">
      <c r="G15" s="1"/>
    </row>
    <row r="16" spans="1:7" x14ac:dyDescent="0.3">
      <c r="G16" s="1"/>
    </row>
    <row r="17" spans="7:7" x14ac:dyDescent="0.3">
      <c r="G17" s="1"/>
    </row>
    <row r="18" spans="7:7" x14ac:dyDescent="0.3">
      <c r="G18" s="1"/>
    </row>
    <row r="19" spans="7:7" x14ac:dyDescent="0.3">
      <c r="G19" s="1"/>
    </row>
    <row r="20" spans="7:7" x14ac:dyDescent="0.3">
      <c r="G20" s="1"/>
    </row>
    <row r="21" spans="7:7" x14ac:dyDescent="0.3">
      <c r="G21" s="1"/>
    </row>
    <row r="22" spans="7:7" x14ac:dyDescent="0.3">
      <c r="G22" s="1"/>
    </row>
    <row r="23" spans="7:7" x14ac:dyDescent="0.3">
      <c r="G23" s="1"/>
    </row>
    <row r="24" spans="7:7" x14ac:dyDescent="0.3">
      <c r="G24" s="1"/>
    </row>
    <row r="25" spans="7:7" x14ac:dyDescent="0.3">
      <c r="G25" s="1"/>
    </row>
    <row r="26" spans="7:7" x14ac:dyDescent="0.3">
      <c r="G26" s="1"/>
    </row>
    <row r="27" spans="7:7" x14ac:dyDescent="0.3">
      <c r="G27" s="1"/>
    </row>
    <row r="28" spans="7:7" x14ac:dyDescent="0.3">
      <c r="G28" s="1"/>
    </row>
    <row r="29" spans="7:7" x14ac:dyDescent="0.3">
      <c r="G29" s="1"/>
    </row>
    <row r="30" spans="7:7" x14ac:dyDescent="0.3">
      <c r="G30" s="1"/>
    </row>
    <row r="31" spans="7:7" x14ac:dyDescent="0.3">
      <c r="G31" s="1"/>
    </row>
    <row r="32" spans="7:7" x14ac:dyDescent="0.3">
      <c r="G32" s="1"/>
    </row>
    <row r="33" spans="7:7" x14ac:dyDescent="0.3">
      <c r="G33" s="1"/>
    </row>
    <row r="34" spans="7:7" x14ac:dyDescent="0.3">
      <c r="G3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topLeftCell="A105" workbookViewId="0">
      <selection activeCell="D1" sqref="D1"/>
    </sheetView>
  </sheetViews>
  <sheetFormatPr defaultRowHeight="14.4" x14ac:dyDescent="0.3"/>
  <cols>
    <col min="1" max="1" width="11" style="6" customWidth="1"/>
    <col min="2" max="2" width="15" customWidth="1"/>
    <col min="3" max="3" width="13.109375" customWidth="1"/>
    <col min="4" max="4" width="15.44140625" customWidth="1"/>
    <col min="5" max="5" width="13.33203125" style="6" customWidth="1"/>
    <col min="6" max="6" width="16" style="6" customWidth="1"/>
    <col min="7" max="7" width="19.6640625" style="9" customWidth="1"/>
    <col min="8" max="8" width="27.109375" style="9" customWidth="1"/>
    <col min="11" max="11" width="20.6640625" bestFit="1" customWidth="1"/>
    <col min="12" max="12" width="28.109375" customWidth="1"/>
    <col min="13" max="13" width="20.77734375" customWidth="1"/>
  </cols>
  <sheetData>
    <row r="1" spans="1:13" ht="14.25" customHeight="1" x14ac:dyDescent="0.3">
      <c r="A1" s="6" t="s">
        <v>32</v>
      </c>
      <c r="B1" s="5" t="s">
        <v>28</v>
      </c>
      <c r="C1" s="5" t="s">
        <v>29</v>
      </c>
      <c r="D1" s="5" t="s">
        <v>30</v>
      </c>
      <c r="E1" s="7" t="s">
        <v>31</v>
      </c>
      <c r="F1" s="7" t="s">
        <v>13</v>
      </c>
      <c r="G1" s="8" t="s">
        <v>27</v>
      </c>
      <c r="H1" s="8" t="s">
        <v>33</v>
      </c>
      <c r="L1" s="11" t="s">
        <v>34</v>
      </c>
      <c r="M1" s="11"/>
    </row>
    <row r="2" spans="1:13" x14ac:dyDescent="0.3">
      <c r="A2" s="6">
        <v>1</v>
      </c>
      <c r="B2" t="str" cm="1">
        <f t="array" aca="1" ref="B2" ca="1">INDEX(ΛΙΣΤΕΣ!$A$2:$A$8, RANDBETWEEN(1, COUNTA(ΛΙΣΤΕΣ!$A$2:$A$8)))</f>
        <v>Υπηρεσία Γ</v>
      </c>
      <c r="C2" t="str" cm="1">
        <f t="array" aca="1" ref="C2" ca="1">INDEX(ΛΙΣΤΕΣ!$B$2:$B$5, RANDBETWEEN(1, COUNTA(ΛΙΣΤΕΣ!$B$2:$B$5)))</f>
        <v>Ρεθύμνου</v>
      </c>
      <c r="D2" t="str" cm="1">
        <f t="array" aca="1" ref="D2" ca="1">INDEX(ΛΙΣΤΕΣ!$C$2:$C$13, RANDBETWEEN(1, COUNTA(ΛΙΣΤΕΣ!$C$2:$C$13)))</f>
        <v>Μάρτιος</v>
      </c>
      <c r="E2" s="6">
        <f ca="1">RANDBETWEEN(10, 500)</f>
        <v>327</v>
      </c>
      <c r="F2" s="6">
        <f ca="1">RANDBETWEEN(5, 150)</f>
        <v>82</v>
      </c>
      <c r="G2" s="10">
        <f ca="1">E2*F2</f>
        <v>26814</v>
      </c>
      <c r="H2" s="9">
        <f t="shared" ref="H2:H65" ca="1" si="0">G2*( 1 + 15% * RANDBETWEEN(0,1))</f>
        <v>26814</v>
      </c>
      <c r="L2" s="11" t="s">
        <v>35</v>
      </c>
      <c r="M2" s="9">
        <f ca="1">SUM(G2:G151)</f>
        <v>3345793</v>
      </c>
    </row>
    <row r="3" spans="1:13" x14ac:dyDescent="0.3">
      <c r="A3" s="6">
        <v>2</v>
      </c>
      <c r="B3" t="str" cm="1">
        <f t="array" aca="1" ref="B3" ca="1">INDEX(ΛΙΣΤΕΣ!$A$2:$A$8, RANDBETWEEN(1, COUNTA(ΛΙΣΤΕΣ!$A$2:$A$8)))</f>
        <v>Υπηρεσία Γ</v>
      </c>
      <c r="C3" t="str" cm="1">
        <f t="array" aca="1" ref="C3" ca="1">INDEX(ΛΙΣΤΕΣ!$B$2:$B$5, RANDBETWEEN(1, COUNTA(ΛΙΣΤΕΣ!$B$2:$B$5)))</f>
        <v>Ηρακλείου</v>
      </c>
      <c r="D3" t="str" cm="1">
        <f t="array" aca="1" ref="D3" ca="1">INDEX(ΛΙΣΤΕΣ!$C$2:$C$13, RANDBETWEEN(1, COUNTA(ΛΙΣΤΕΣ!$C$2:$C$13)))</f>
        <v>Οκτώβριος</v>
      </c>
      <c r="E3" s="6">
        <f t="shared" ref="E3:E66" ca="1" si="1">RANDBETWEEN(10, 500)</f>
        <v>425</v>
      </c>
      <c r="F3" s="6">
        <f t="shared" ref="F3:F66" ca="1" si="2">RANDBETWEEN(5, 150)</f>
        <v>134</v>
      </c>
      <c r="G3" s="10">
        <f t="shared" ref="G3:G65" ca="1" si="3">E3*F3</f>
        <v>56950</v>
      </c>
      <c r="H3" s="9">
        <f t="shared" ca="1" si="0"/>
        <v>65492.499999999993</v>
      </c>
      <c r="L3" s="11" t="s">
        <v>36</v>
      </c>
      <c r="M3" s="9">
        <f ca="1">MAX(G2:G151)</f>
        <v>71357</v>
      </c>
    </row>
    <row r="4" spans="1:13" x14ac:dyDescent="0.3">
      <c r="A4" s="6">
        <v>3</v>
      </c>
      <c r="B4" t="str" cm="1">
        <f t="array" aca="1" ref="B4" ca="1">INDEX(ΛΙΣΤΕΣ!$A$2:$A$8, RANDBETWEEN(1, COUNTA(ΛΙΣΤΕΣ!$A$2:$A$8)))</f>
        <v>Υπηρεσία Β</v>
      </c>
      <c r="C4" t="str" cm="1">
        <f t="array" aca="1" ref="C4" ca="1">INDEX(ΛΙΣΤΕΣ!$B$2:$B$5, RANDBETWEEN(1, COUNTA(ΛΙΣΤΕΣ!$B$2:$B$5)))</f>
        <v>Λασιθίου</v>
      </c>
      <c r="D4" t="str" cm="1">
        <f t="array" aca="1" ref="D4" ca="1">INDEX(ΛΙΣΤΕΣ!$C$2:$C$13, RANDBETWEEN(1, COUNTA(ΛΙΣΤΕΣ!$C$2:$C$13)))</f>
        <v>Οκτώβριος</v>
      </c>
      <c r="E4" s="6">
        <f t="shared" ca="1" si="1"/>
        <v>369</v>
      </c>
      <c r="F4" s="6">
        <f t="shared" ca="1" si="2"/>
        <v>142</v>
      </c>
      <c r="G4" s="10">
        <f t="shared" ca="1" si="3"/>
        <v>52398</v>
      </c>
      <c r="H4" s="9">
        <f t="shared" ca="1" si="0"/>
        <v>52398</v>
      </c>
      <c r="L4" s="11" t="s">
        <v>37</v>
      </c>
      <c r="M4" s="9">
        <f ca="1">COUNT(G2:G151)</f>
        <v>150</v>
      </c>
    </row>
    <row r="5" spans="1:13" x14ac:dyDescent="0.3">
      <c r="A5" s="6">
        <v>4</v>
      </c>
      <c r="B5" t="str" cm="1">
        <f t="array" aca="1" ref="B5" ca="1">INDEX(ΛΙΣΤΕΣ!$A$2:$A$8, RANDBETWEEN(1, COUNTA(ΛΙΣΤΕΣ!$A$2:$A$8)))</f>
        <v>Προϊον Γ</v>
      </c>
      <c r="C5" t="str" cm="1">
        <f t="array" aca="1" ref="C5" ca="1">INDEX(ΛΙΣΤΕΣ!$B$2:$B$5, RANDBETWEEN(1, COUNTA(ΛΙΣΤΕΣ!$B$2:$B$5)))</f>
        <v>Χανίων</v>
      </c>
      <c r="D5" t="str" cm="1">
        <f t="array" aca="1" ref="D5" ca="1">INDEX(ΛΙΣΤΕΣ!$C$2:$C$13, RANDBETWEEN(1, COUNTA(ΛΙΣΤΕΣ!$C$2:$C$13)))</f>
        <v>Φεβρουάριος</v>
      </c>
      <c r="E5" s="6">
        <f t="shared" ca="1" si="1"/>
        <v>421</v>
      </c>
      <c r="F5" s="6">
        <f t="shared" ca="1" si="2"/>
        <v>127</v>
      </c>
      <c r="G5" s="10">
        <f t="shared" ca="1" si="3"/>
        <v>53467</v>
      </c>
      <c r="H5" s="9">
        <f t="shared" ca="1" si="0"/>
        <v>61487.049999999996</v>
      </c>
      <c r="L5" s="12" t="s">
        <v>38</v>
      </c>
      <c r="M5" s="9">
        <f ca="1">SUMIF(C2:C151, "Ηρακλείου",G2:G151)</f>
        <v>699512</v>
      </c>
    </row>
    <row r="6" spans="1:13" x14ac:dyDescent="0.3">
      <c r="A6" s="6">
        <v>5</v>
      </c>
      <c r="B6" t="str" cm="1">
        <f t="array" aca="1" ref="B6" ca="1">INDEX(ΛΙΣΤΕΣ!$A$2:$A$8, RANDBETWEEN(1, COUNTA(ΛΙΣΤΕΣ!$A$2:$A$8)))</f>
        <v>Υπηρεσία Β</v>
      </c>
      <c r="C6" t="str" cm="1">
        <f t="array" aca="1" ref="C6" ca="1">INDEX(ΛΙΣΤΕΣ!$B$2:$B$5, RANDBETWEEN(1, COUNTA(ΛΙΣΤΕΣ!$B$2:$B$5)))</f>
        <v>Χανίων</v>
      </c>
      <c r="D6" t="str" cm="1">
        <f t="array" aca="1" ref="D6" ca="1">INDEX(ΛΙΣΤΕΣ!$C$2:$C$13, RANDBETWEEN(1, COUNTA(ΛΙΣΤΕΣ!$C$2:$C$13)))</f>
        <v>Μάρτιος</v>
      </c>
      <c r="E6" s="6">
        <f t="shared" ca="1" si="1"/>
        <v>443</v>
      </c>
      <c r="F6" s="6">
        <f t="shared" ca="1" si="2"/>
        <v>76</v>
      </c>
      <c r="G6" s="10">
        <f t="shared" ca="1" si="3"/>
        <v>33668</v>
      </c>
      <c r="H6" s="9">
        <f t="shared" ca="1" si="0"/>
        <v>33668</v>
      </c>
      <c r="M6" s="9"/>
    </row>
    <row r="7" spans="1:13" x14ac:dyDescent="0.3">
      <c r="A7" s="6">
        <v>6</v>
      </c>
      <c r="B7" t="str" cm="1">
        <f t="array" aca="1" ref="B7" ca="1">INDEX(ΛΙΣΤΕΣ!$A$2:$A$8, RANDBETWEEN(1, COUNTA(ΛΙΣΤΕΣ!$A$2:$A$8)))</f>
        <v>Υπηρεσία Β</v>
      </c>
      <c r="C7" t="str" cm="1">
        <f t="array" aca="1" ref="C7" ca="1">INDEX(ΛΙΣΤΕΣ!$B$2:$B$5, RANDBETWEEN(1, COUNTA(ΛΙΣΤΕΣ!$B$2:$B$5)))</f>
        <v>Ρεθύμνου</v>
      </c>
      <c r="D7" t="str" cm="1">
        <f t="array" aca="1" ref="D7" ca="1">INDEX(ΛΙΣΤΕΣ!$C$2:$C$13, RANDBETWEEN(1, COUNTA(ΛΙΣΤΕΣ!$C$2:$C$13)))</f>
        <v>Οκτώβριος</v>
      </c>
      <c r="E7" s="6">
        <f t="shared" ca="1" si="1"/>
        <v>121</v>
      </c>
      <c r="F7" s="6">
        <f t="shared" ca="1" si="2"/>
        <v>142</v>
      </c>
      <c r="G7" s="10">
        <f t="shared" ca="1" si="3"/>
        <v>17182</v>
      </c>
      <c r="H7" s="9">
        <f t="shared" ca="1" si="0"/>
        <v>19759.3</v>
      </c>
      <c r="M7" s="9"/>
    </row>
    <row r="8" spans="1:13" x14ac:dyDescent="0.3">
      <c r="A8" s="6">
        <v>7</v>
      </c>
      <c r="B8" t="str" cm="1">
        <f t="array" aca="1" ref="B8" ca="1">INDEX(ΛΙΣΤΕΣ!$A$2:$A$8, RANDBETWEEN(1, COUNTA(ΛΙΣΤΕΣ!$A$2:$A$8)))</f>
        <v>Υπηρεσία Α</v>
      </c>
      <c r="C8" t="str" cm="1">
        <f t="array" aca="1" ref="C8" ca="1">INDEX(ΛΙΣΤΕΣ!$B$2:$B$5, RANDBETWEEN(1, COUNTA(ΛΙΣΤΕΣ!$B$2:$B$5)))</f>
        <v>Ηρακλείου</v>
      </c>
      <c r="D8" t="str" cm="1">
        <f t="array" aca="1" ref="D8" ca="1">INDEX(ΛΙΣΤΕΣ!$C$2:$C$13, RANDBETWEEN(1, COUNTA(ΛΙΣΤΕΣ!$C$2:$C$13)))</f>
        <v>Μάρτιος</v>
      </c>
      <c r="E8" s="6">
        <f t="shared" ca="1" si="1"/>
        <v>301</v>
      </c>
      <c r="F8" s="6">
        <f t="shared" ca="1" si="2"/>
        <v>106</v>
      </c>
      <c r="G8" s="10">
        <f t="shared" ca="1" si="3"/>
        <v>31906</v>
      </c>
      <c r="H8" s="9">
        <f t="shared" ca="1" si="0"/>
        <v>31906</v>
      </c>
      <c r="M8" s="9"/>
    </row>
    <row r="9" spans="1:13" x14ac:dyDescent="0.3">
      <c r="A9" s="6">
        <v>8</v>
      </c>
      <c r="B9" t="str" cm="1">
        <f t="array" aca="1" ref="B9" ca="1">INDEX(ΛΙΣΤΕΣ!$A$2:$A$8, RANDBETWEEN(1, COUNTA(ΛΙΣΤΕΣ!$A$2:$A$8)))</f>
        <v>Προϊον Β</v>
      </c>
      <c r="C9" t="str" cm="1">
        <f t="array" aca="1" ref="C9" ca="1">INDEX(ΛΙΣΤΕΣ!$B$2:$B$5, RANDBETWEEN(1, COUNTA(ΛΙΣΤΕΣ!$B$2:$B$5)))</f>
        <v>Λασιθίου</v>
      </c>
      <c r="D9" t="str" cm="1">
        <f t="array" aca="1" ref="D9" ca="1">INDEX(ΛΙΣΤΕΣ!$C$2:$C$13, RANDBETWEEN(1, COUNTA(ΛΙΣΤΕΣ!$C$2:$C$13)))</f>
        <v>Δεκέμβριος</v>
      </c>
      <c r="E9" s="6">
        <f t="shared" ca="1" si="1"/>
        <v>425</v>
      </c>
      <c r="F9" s="6">
        <f t="shared" ca="1" si="2"/>
        <v>86</v>
      </c>
      <c r="G9" s="10">
        <f t="shared" ca="1" si="3"/>
        <v>36550</v>
      </c>
      <c r="H9" s="9">
        <f t="shared" ca="1" si="0"/>
        <v>36550</v>
      </c>
      <c r="M9" s="9"/>
    </row>
    <row r="10" spans="1:13" x14ac:dyDescent="0.3">
      <c r="A10" s="6">
        <v>9</v>
      </c>
      <c r="B10" t="str" cm="1">
        <f t="array" aca="1" ref="B10" ca="1">INDEX(ΛΙΣΤΕΣ!$A$2:$A$8, RANDBETWEEN(1, COUNTA(ΛΙΣΤΕΣ!$A$2:$A$8)))</f>
        <v>Προϊον Δ</v>
      </c>
      <c r="C10" t="str" cm="1">
        <f t="array" aca="1" ref="C10" ca="1">INDEX(ΛΙΣΤΕΣ!$B$2:$B$5, RANDBETWEEN(1, COUNTA(ΛΙΣΤΕΣ!$B$2:$B$5)))</f>
        <v>Ηρακλείου</v>
      </c>
      <c r="D10" t="str" cm="1">
        <f t="array" aca="1" ref="D10" ca="1">INDEX(ΛΙΣΤΕΣ!$C$2:$C$13, RANDBETWEEN(1, COUNTA(ΛΙΣΤΕΣ!$C$2:$C$13)))</f>
        <v>Δεκέμβριος</v>
      </c>
      <c r="E10" s="6">
        <f t="shared" ca="1" si="1"/>
        <v>325</v>
      </c>
      <c r="F10" s="6">
        <f t="shared" ca="1" si="2"/>
        <v>50</v>
      </c>
      <c r="G10" s="10">
        <f t="shared" ca="1" si="3"/>
        <v>16250</v>
      </c>
      <c r="H10" s="9">
        <f t="shared" ca="1" si="0"/>
        <v>16250</v>
      </c>
      <c r="M10" s="9"/>
    </row>
    <row r="11" spans="1:13" x14ac:dyDescent="0.3">
      <c r="A11" s="6">
        <v>10</v>
      </c>
      <c r="B11" t="str" cm="1">
        <f t="array" aca="1" ref="B11" ca="1">INDEX(ΛΙΣΤΕΣ!$A$2:$A$8, RANDBETWEEN(1, COUNTA(ΛΙΣΤΕΣ!$A$2:$A$8)))</f>
        <v>Προϊον Δ</v>
      </c>
      <c r="C11" t="str" cm="1">
        <f t="array" aca="1" ref="C11" ca="1">INDEX(ΛΙΣΤΕΣ!$B$2:$B$5, RANDBETWEEN(1, COUNTA(ΛΙΣΤΕΣ!$B$2:$B$5)))</f>
        <v>Ηρακλείου</v>
      </c>
      <c r="D11" t="str" cm="1">
        <f t="array" aca="1" ref="D11" ca="1">INDEX(ΛΙΣΤΕΣ!$C$2:$C$13, RANDBETWEEN(1, COUNTA(ΛΙΣΤΕΣ!$C$2:$C$13)))</f>
        <v>Μάιος</v>
      </c>
      <c r="E11" s="6">
        <f t="shared" ca="1" si="1"/>
        <v>274</v>
      </c>
      <c r="F11" s="6">
        <f t="shared" ca="1" si="2"/>
        <v>72</v>
      </c>
      <c r="G11" s="10">
        <f t="shared" ca="1" si="3"/>
        <v>19728</v>
      </c>
      <c r="H11" s="9">
        <f t="shared" ca="1" si="0"/>
        <v>19728</v>
      </c>
      <c r="M11" s="9"/>
    </row>
    <row r="12" spans="1:13" x14ac:dyDescent="0.3">
      <c r="A12" s="6">
        <v>11</v>
      </c>
      <c r="B12" t="str" cm="1">
        <f t="array" aca="1" ref="B12" ca="1">INDEX(ΛΙΣΤΕΣ!$A$2:$A$8, RANDBETWEEN(1, COUNTA(ΛΙΣΤΕΣ!$A$2:$A$8)))</f>
        <v>Προϊον Β</v>
      </c>
      <c r="C12" t="str" cm="1">
        <f t="array" aca="1" ref="C12" ca="1">INDEX(ΛΙΣΤΕΣ!$B$2:$B$5, RANDBETWEEN(1, COUNTA(ΛΙΣΤΕΣ!$B$2:$B$5)))</f>
        <v>Χανίων</v>
      </c>
      <c r="D12" t="str" cm="1">
        <f t="array" aca="1" ref="D12" ca="1">INDEX(ΛΙΣΤΕΣ!$C$2:$C$13, RANDBETWEEN(1, COUNTA(ΛΙΣΤΕΣ!$C$2:$C$13)))</f>
        <v>Απρίλιος</v>
      </c>
      <c r="E12" s="6">
        <f t="shared" ca="1" si="1"/>
        <v>70</v>
      </c>
      <c r="F12" s="6">
        <f t="shared" ca="1" si="2"/>
        <v>17</v>
      </c>
      <c r="G12" s="10">
        <f t="shared" ca="1" si="3"/>
        <v>1190</v>
      </c>
      <c r="H12" s="9">
        <f t="shared" ca="1" si="0"/>
        <v>1368.5</v>
      </c>
      <c r="M12" s="9"/>
    </row>
    <row r="13" spans="1:13" x14ac:dyDescent="0.3">
      <c r="A13" s="6">
        <v>12</v>
      </c>
      <c r="B13" t="str" cm="1">
        <f t="array" aca="1" ref="B13" ca="1">INDEX(ΛΙΣΤΕΣ!$A$2:$A$8, RANDBETWEEN(1, COUNTA(ΛΙΣΤΕΣ!$A$2:$A$8)))</f>
        <v>Υπηρεσία Β</v>
      </c>
      <c r="C13" t="str" cm="1">
        <f t="array" aca="1" ref="C13" ca="1">INDEX(ΛΙΣΤΕΣ!$B$2:$B$5, RANDBETWEEN(1, COUNTA(ΛΙΣΤΕΣ!$B$2:$B$5)))</f>
        <v>Ηρακλείου</v>
      </c>
      <c r="D13" t="str" cm="1">
        <f t="array" aca="1" ref="D13" ca="1">INDEX(ΛΙΣΤΕΣ!$C$2:$C$13, RANDBETWEEN(1, COUNTA(ΛΙΣΤΕΣ!$C$2:$C$13)))</f>
        <v>Οκτώβριος</v>
      </c>
      <c r="E13" s="6">
        <f t="shared" ca="1" si="1"/>
        <v>305</v>
      </c>
      <c r="F13" s="6">
        <f t="shared" ca="1" si="2"/>
        <v>148</v>
      </c>
      <c r="G13" s="10">
        <f t="shared" ca="1" si="3"/>
        <v>45140</v>
      </c>
      <c r="H13" s="9">
        <f t="shared" ca="1" si="0"/>
        <v>45140</v>
      </c>
      <c r="M13" s="9"/>
    </row>
    <row r="14" spans="1:13" x14ac:dyDescent="0.3">
      <c r="A14" s="6">
        <v>13</v>
      </c>
      <c r="B14" t="str" cm="1">
        <f t="array" aca="1" ref="B14" ca="1">INDEX(ΛΙΣΤΕΣ!$A$2:$A$8, RANDBETWEEN(1, COUNTA(ΛΙΣΤΕΣ!$A$2:$A$8)))</f>
        <v>Υπηρεσία Β</v>
      </c>
      <c r="C14" t="str" cm="1">
        <f t="array" aca="1" ref="C14" ca="1">INDEX(ΛΙΣΤΕΣ!$B$2:$B$5, RANDBETWEEN(1, COUNTA(ΛΙΣΤΕΣ!$B$2:$B$5)))</f>
        <v>Ηρακλείου</v>
      </c>
      <c r="D14" t="str" cm="1">
        <f t="array" aca="1" ref="D14" ca="1">INDEX(ΛΙΣΤΕΣ!$C$2:$C$13, RANDBETWEEN(1, COUNTA(ΛΙΣΤΕΣ!$C$2:$C$13)))</f>
        <v>Ιούλιος</v>
      </c>
      <c r="E14" s="6">
        <f t="shared" ca="1" si="1"/>
        <v>364</v>
      </c>
      <c r="F14" s="6">
        <f t="shared" ca="1" si="2"/>
        <v>63</v>
      </c>
      <c r="G14" s="10">
        <f t="shared" ca="1" si="3"/>
        <v>22932</v>
      </c>
      <c r="H14" s="9">
        <f t="shared" ca="1" si="0"/>
        <v>22932</v>
      </c>
      <c r="M14" s="9"/>
    </row>
    <row r="15" spans="1:13" x14ac:dyDescent="0.3">
      <c r="A15" s="6">
        <v>14</v>
      </c>
      <c r="B15" t="str" cm="1">
        <f t="array" aca="1" ref="B15" ca="1">INDEX(ΛΙΣΤΕΣ!$A$2:$A$8, RANDBETWEEN(1, COUNTA(ΛΙΣΤΕΣ!$A$2:$A$8)))</f>
        <v>Υπηρεσία Γ</v>
      </c>
      <c r="C15" t="str" cm="1">
        <f t="array" aca="1" ref="C15" ca="1">INDEX(ΛΙΣΤΕΣ!$B$2:$B$5, RANDBETWEEN(1, COUNTA(ΛΙΣΤΕΣ!$B$2:$B$5)))</f>
        <v>Χανίων</v>
      </c>
      <c r="D15" t="str" cm="1">
        <f t="array" aca="1" ref="D15" ca="1">INDEX(ΛΙΣΤΕΣ!$C$2:$C$13, RANDBETWEEN(1, COUNTA(ΛΙΣΤΕΣ!$C$2:$C$13)))</f>
        <v>Αύγουστος</v>
      </c>
      <c r="E15" s="6">
        <f t="shared" ca="1" si="1"/>
        <v>18</v>
      </c>
      <c r="F15" s="6">
        <f t="shared" ca="1" si="2"/>
        <v>114</v>
      </c>
      <c r="G15" s="10">
        <f t="shared" ca="1" si="3"/>
        <v>2052</v>
      </c>
      <c r="H15" s="9">
        <f t="shared" ca="1" si="0"/>
        <v>2052</v>
      </c>
      <c r="M15" s="9"/>
    </row>
    <row r="16" spans="1:13" x14ac:dyDescent="0.3">
      <c r="A16" s="6">
        <v>15</v>
      </c>
      <c r="B16" t="str" cm="1">
        <f t="array" aca="1" ref="B16" ca="1">INDEX(ΛΙΣΤΕΣ!$A$2:$A$8, RANDBETWEEN(1, COUNTA(ΛΙΣΤΕΣ!$A$2:$A$8)))</f>
        <v>Υπηρεσία Α</v>
      </c>
      <c r="C16" t="str" cm="1">
        <f t="array" aca="1" ref="C16" ca="1">INDEX(ΛΙΣΤΕΣ!$B$2:$B$5, RANDBETWEEN(1, COUNTA(ΛΙΣΤΕΣ!$B$2:$B$5)))</f>
        <v>Χανίων</v>
      </c>
      <c r="D16" t="str" cm="1">
        <f t="array" aca="1" ref="D16" ca="1">INDEX(ΛΙΣΤΕΣ!$C$2:$C$13, RANDBETWEEN(1, COUNTA(ΛΙΣΤΕΣ!$C$2:$C$13)))</f>
        <v>Οκτώβριος</v>
      </c>
      <c r="E16" s="6">
        <f t="shared" ca="1" si="1"/>
        <v>264</v>
      </c>
      <c r="F16" s="6">
        <f t="shared" ca="1" si="2"/>
        <v>37</v>
      </c>
      <c r="G16" s="10">
        <f t="shared" ca="1" si="3"/>
        <v>9768</v>
      </c>
      <c r="H16" s="9">
        <f t="shared" ca="1" si="0"/>
        <v>9768</v>
      </c>
      <c r="M16" s="9"/>
    </row>
    <row r="17" spans="1:13" x14ac:dyDescent="0.3">
      <c r="A17" s="6">
        <v>16</v>
      </c>
      <c r="B17" t="str" cm="1">
        <f t="array" aca="1" ref="B17" ca="1">INDEX(ΛΙΣΤΕΣ!$A$2:$A$8, RANDBETWEEN(1, COUNTA(ΛΙΣΤΕΣ!$A$2:$A$8)))</f>
        <v>Υπηρεσία Α</v>
      </c>
      <c r="C17" t="str" cm="1">
        <f t="array" aca="1" ref="C17" ca="1">INDEX(ΛΙΣΤΕΣ!$B$2:$B$5, RANDBETWEEN(1, COUNTA(ΛΙΣΤΕΣ!$B$2:$B$5)))</f>
        <v>Χανίων</v>
      </c>
      <c r="D17" t="str" cm="1">
        <f t="array" aca="1" ref="D17" ca="1">INDEX(ΛΙΣΤΕΣ!$C$2:$C$13, RANDBETWEEN(1, COUNTA(ΛΙΣΤΕΣ!$C$2:$C$13)))</f>
        <v>Μάρτιος</v>
      </c>
      <c r="E17" s="6">
        <f t="shared" ca="1" si="1"/>
        <v>243</v>
      </c>
      <c r="F17" s="6">
        <f t="shared" ca="1" si="2"/>
        <v>39</v>
      </c>
      <c r="G17" s="10">
        <f t="shared" ca="1" si="3"/>
        <v>9477</v>
      </c>
      <c r="H17" s="9">
        <f t="shared" ca="1" si="0"/>
        <v>9477</v>
      </c>
      <c r="M17" s="9"/>
    </row>
    <row r="18" spans="1:13" x14ac:dyDescent="0.3">
      <c r="A18" s="6">
        <v>17</v>
      </c>
      <c r="B18" t="str" cm="1">
        <f t="array" aca="1" ref="B18" ca="1">INDEX(ΛΙΣΤΕΣ!$A$2:$A$8, RANDBETWEEN(1, COUNTA(ΛΙΣΤΕΣ!$A$2:$A$8)))</f>
        <v>Υπηρεσία Α</v>
      </c>
      <c r="C18" t="str" cm="1">
        <f t="array" aca="1" ref="C18" ca="1">INDEX(ΛΙΣΤΕΣ!$B$2:$B$5, RANDBETWEEN(1, COUNTA(ΛΙΣΤΕΣ!$B$2:$B$5)))</f>
        <v>Λασιθίου</v>
      </c>
      <c r="D18" t="str" cm="1">
        <f t="array" aca="1" ref="D18" ca="1">INDEX(ΛΙΣΤΕΣ!$C$2:$C$13, RANDBETWEEN(1, COUNTA(ΛΙΣΤΕΣ!$C$2:$C$13)))</f>
        <v>Ιανουάριος</v>
      </c>
      <c r="E18" s="6">
        <f t="shared" ca="1" si="1"/>
        <v>228</v>
      </c>
      <c r="F18" s="6">
        <f t="shared" ca="1" si="2"/>
        <v>48</v>
      </c>
      <c r="G18" s="10">
        <f t="shared" ca="1" si="3"/>
        <v>10944</v>
      </c>
      <c r="H18" s="9">
        <f t="shared" ca="1" si="0"/>
        <v>10944</v>
      </c>
      <c r="M18" s="9"/>
    </row>
    <row r="19" spans="1:13" x14ac:dyDescent="0.3">
      <c r="A19" s="6">
        <v>18</v>
      </c>
      <c r="B19" t="str" cm="1">
        <f t="array" aca="1" ref="B19" ca="1">INDEX(ΛΙΣΤΕΣ!$A$2:$A$8, RANDBETWEEN(1, COUNTA(ΛΙΣΤΕΣ!$A$2:$A$8)))</f>
        <v>Προϊον Δ</v>
      </c>
      <c r="C19" t="str" cm="1">
        <f t="array" aca="1" ref="C19" ca="1">INDEX(ΛΙΣΤΕΣ!$B$2:$B$5, RANDBETWEEN(1, COUNTA(ΛΙΣΤΕΣ!$B$2:$B$5)))</f>
        <v>Χανίων</v>
      </c>
      <c r="D19" t="str" cm="1">
        <f t="array" aca="1" ref="D19" ca="1">INDEX(ΛΙΣΤΕΣ!$C$2:$C$13, RANDBETWEEN(1, COUNTA(ΛΙΣΤΕΣ!$C$2:$C$13)))</f>
        <v>Δεκέμβριος</v>
      </c>
      <c r="E19" s="6">
        <f t="shared" ca="1" si="1"/>
        <v>481</v>
      </c>
      <c r="F19" s="6">
        <f t="shared" ca="1" si="2"/>
        <v>28</v>
      </c>
      <c r="G19" s="10">
        <f t="shared" ca="1" si="3"/>
        <v>13468</v>
      </c>
      <c r="H19" s="9">
        <f t="shared" ca="1" si="0"/>
        <v>15488.199999999999</v>
      </c>
      <c r="M19" s="9"/>
    </row>
    <row r="20" spans="1:13" x14ac:dyDescent="0.3">
      <c r="A20" s="6">
        <v>19</v>
      </c>
      <c r="B20" t="str" cm="1">
        <f t="array" aca="1" ref="B20" ca="1">INDEX(ΛΙΣΤΕΣ!$A$2:$A$8, RANDBETWEEN(1, COUNTA(ΛΙΣΤΕΣ!$A$2:$A$8)))</f>
        <v>Υπηρεσία Α</v>
      </c>
      <c r="C20" t="str" cm="1">
        <f t="array" aca="1" ref="C20" ca="1">INDEX(ΛΙΣΤΕΣ!$B$2:$B$5, RANDBETWEEN(1, COUNTA(ΛΙΣΤΕΣ!$B$2:$B$5)))</f>
        <v>Χανίων</v>
      </c>
      <c r="D20" t="str" cm="1">
        <f t="array" aca="1" ref="D20" ca="1">INDEX(ΛΙΣΤΕΣ!$C$2:$C$13, RANDBETWEEN(1, COUNTA(ΛΙΣΤΕΣ!$C$2:$C$13)))</f>
        <v>Δεκέμβριος</v>
      </c>
      <c r="E20" s="6">
        <f t="shared" ca="1" si="1"/>
        <v>30</v>
      </c>
      <c r="F20" s="6">
        <f t="shared" ca="1" si="2"/>
        <v>10</v>
      </c>
      <c r="G20" s="10">
        <f t="shared" ca="1" si="3"/>
        <v>300</v>
      </c>
      <c r="H20" s="9">
        <f t="shared" ca="1" si="0"/>
        <v>345</v>
      </c>
    </row>
    <row r="21" spans="1:13" x14ac:dyDescent="0.3">
      <c r="A21" s="6">
        <v>20</v>
      </c>
      <c r="B21" t="str" cm="1">
        <f t="array" aca="1" ref="B21" ca="1">INDEX(ΛΙΣΤΕΣ!$A$2:$A$8, RANDBETWEEN(1, COUNTA(ΛΙΣΤΕΣ!$A$2:$A$8)))</f>
        <v>Υπηρεσία Β</v>
      </c>
      <c r="C21" t="str" cm="1">
        <f t="array" aca="1" ref="C21" ca="1">INDEX(ΛΙΣΤΕΣ!$B$2:$B$5, RANDBETWEEN(1, COUNTA(ΛΙΣΤΕΣ!$B$2:$B$5)))</f>
        <v>Χανίων</v>
      </c>
      <c r="D21" t="str" cm="1">
        <f t="array" aca="1" ref="D21" ca="1">INDEX(ΛΙΣΤΕΣ!$C$2:$C$13, RANDBETWEEN(1, COUNTA(ΛΙΣΤΕΣ!$C$2:$C$13)))</f>
        <v>Νοέμβριος</v>
      </c>
      <c r="E21" s="6">
        <f t="shared" ca="1" si="1"/>
        <v>373</v>
      </c>
      <c r="F21" s="6">
        <f t="shared" ca="1" si="2"/>
        <v>119</v>
      </c>
      <c r="G21" s="10">
        <f t="shared" ca="1" si="3"/>
        <v>44387</v>
      </c>
      <c r="H21" s="9">
        <f t="shared" ca="1" si="0"/>
        <v>44387</v>
      </c>
    </row>
    <row r="22" spans="1:13" x14ac:dyDescent="0.3">
      <c r="A22" s="6">
        <v>21</v>
      </c>
      <c r="B22" t="str" cm="1">
        <f t="array" aca="1" ref="B22" ca="1">INDEX(ΛΙΣΤΕΣ!$A$2:$A$8, RANDBETWEEN(1, COUNTA(ΛΙΣΤΕΣ!$A$2:$A$8)))</f>
        <v>Υπηρεσία Α</v>
      </c>
      <c r="C22" t="str" cm="1">
        <f t="array" aca="1" ref="C22" ca="1">INDEX(ΛΙΣΤΕΣ!$B$2:$B$5, RANDBETWEEN(1, COUNTA(ΛΙΣΤΕΣ!$B$2:$B$5)))</f>
        <v>Ρεθύμνου</v>
      </c>
      <c r="D22" t="str" cm="1">
        <f t="array" aca="1" ref="D22" ca="1">INDEX(ΛΙΣΤΕΣ!$C$2:$C$13, RANDBETWEEN(1, COUNTA(ΛΙΣΤΕΣ!$C$2:$C$13)))</f>
        <v>Οκτώβριος</v>
      </c>
      <c r="E22" s="6">
        <f t="shared" ca="1" si="1"/>
        <v>355</v>
      </c>
      <c r="F22" s="6">
        <f t="shared" ca="1" si="2"/>
        <v>71</v>
      </c>
      <c r="G22" s="10">
        <f t="shared" ca="1" si="3"/>
        <v>25205</v>
      </c>
      <c r="H22" s="9">
        <f t="shared" ca="1" si="0"/>
        <v>25205</v>
      </c>
    </row>
    <row r="23" spans="1:13" x14ac:dyDescent="0.3">
      <c r="A23" s="6">
        <v>22</v>
      </c>
      <c r="B23" t="str" cm="1">
        <f t="array" aca="1" ref="B23" ca="1">INDEX(ΛΙΣΤΕΣ!$A$2:$A$8, RANDBETWEEN(1, COUNTA(ΛΙΣΤΕΣ!$A$2:$A$8)))</f>
        <v>Υπηρεσία Α</v>
      </c>
      <c r="C23" t="str" cm="1">
        <f t="array" aca="1" ref="C23" ca="1">INDEX(ΛΙΣΤΕΣ!$B$2:$B$5, RANDBETWEEN(1, COUNTA(ΛΙΣΤΕΣ!$B$2:$B$5)))</f>
        <v>Ρεθύμνου</v>
      </c>
      <c r="D23" t="str" cm="1">
        <f t="array" aca="1" ref="D23" ca="1">INDEX(ΛΙΣΤΕΣ!$C$2:$C$13, RANDBETWEEN(1, COUNTA(ΛΙΣΤΕΣ!$C$2:$C$13)))</f>
        <v>Νοέμβριος</v>
      </c>
      <c r="E23" s="6">
        <f t="shared" ca="1" si="1"/>
        <v>231</v>
      </c>
      <c r="F23" s="6">
        <f t="shared" ca="1" si="2"/>
        <v>131</v>
      </c>
      <c r="G23" s="10">
        <f t="shared" ca="1" si="3"/>
        <v>30261</v>
      </c>
      <c r="H23" s="9">
        <f t="shared" ca="1" si="0"/>
        <v>30261</v>
      </c>
    </row>
    <row r="24" spans="1:13" x14ac:dyDescent="0.3">
      <c r="A24" s="6">
        <v>23</v>
      </c>
      <c r="B24" t="str" cm="1">
        <f t="array" aca="1" ref="B24" ca="1">INDEX(ΛΙΣΤΕΣ!$A$2:$A$8, RANDBETWEEN(1, COUNTA(ΛΙΣΤΕΣ!$A$2:$A$8)))</f>
        <v>Υπηρεσία Γ</v>
      </c>
      <c r="C24" t="str" cm="1">
        <f t="array" aca="1" ref="C24" ca="1">INDEX(ΛΙΣΤΕΣ!$B$2:$B$5, RANDBETWEEN(1, COUNTA(ΛΙΣΤΕΣ!$B$2:$B$5)))</f>
        <v>Ρεθύμνου</v>
      </c>
      <c r="D24" t="str" cm="1">
        <f t="array" aca="1" ref="D24" ca="1">INDEX(ΛΙΣΤΕΣ!$C$2:$C$13, RANDBETWEEN(1, COUNTA(ΛΙΣΤΕΣ!$C$2:$C$13)))</f>
        <v>Αύγουστος</v>
      </c>
      <c r="E24" s="6">
        <f t="shared" ca="1" si="1"/>
        <v>196</v>
      </c>
      <c r="F24" s="6">
        <f t="shared" ca="1" si="2"/>
        <v>39</v>
      </c>
      <c r="G24" s="10">
        <f t="shared" ca="1" si="3"/>
        <v>7644</v>
      </c>
      <c r="H24" s="9">
        <f t="shared" ca="1" si="0"/>
        <v>8790.5999999999985</v>
      </c>
    </row>
    <row r="25" spans="1:13" x14ac:dyDescent="0.3">
      <c r="A25" s="6">
        <v>24</v>
      </c>
      <c r="B25" t="str" cm="1">
        <f t="array" aca="1" ref="B25" ca="1">INDEX(ΛΙΣΤΕΣ!$A$2:$A$8, RANDBETWEEN(1, COUNTA(ΛΙΣΤΕΣ!$A$2:$A$8)))</f>
        <v>Υπηρεσία Β</v>
      </c>
      <c r="C25" t="str" cm="1">
        <f t="array" aca="1" ref="C25" ca="1">INDEX(ΛΙΣΤΕΣ!$B$2:$B$5, RANDBETWEEN(1, COUNTA(ΛΙΣΤΕΣ!$B$2:$B$5)))</f>
        <v>Ρεθύμνου</v>
      </c>
      <c r="D25" t="str" cm="1">
        <f t="array" aca="1" ref="D25" ca="1">INDEX(ΛΙΣΤΕΣ!$C$2:$C$13, RANDBETWEEN(1, COUNTA(ΛΙΣΤΕΣ!$C$2:$C$13)))</f>
        <v>Σεπτέμβριος</v>
      </c>
      <c r="E25" s="6">
        <f t="shared" ca="1" si="1"/>
        <v>40</v>
      </c>
      <c r="F25" s="6">
        <f t="shared" ca="1" si="2"/>
        <v>99</v>
      </c>
      <c r="G25" s="10">
        <f t="shared" ca="1" si="3"/>
        <v>3960</v>
      </c>
      <c r="H25" s="9">
        <f t="shared" ca="1" si="0"/>
        <v>3960</v>
      </c>
    </row>
    <row r="26" spans="1:13" x14ac:dyDescent="0.3">
      <c r="A26" s="6">
        <v>25</v>
      </c>
      <c r="B26" t="str" cm="1">
        <f t="array" aca="1" ref="B26" ca="1">INDEX(ΛΙΣΤΕΣ!$A$2:$A$8, RANDBETWEEN(1, COUNTA(ΛΙΣΤΕΣ!$A$2:$A$8)))</f>
        <v>Υπηρεσία Α</v>
      </c>
      <c r="C26" t="str" cm="1">
        <f t="array" aca="1" ref="C26" ca="1">INDEX(ΛΙΣΤΕΣ!$B$2:$B$5, RANDBETWEEN(1, COUNTA(ΛΙΣΤΕΣ!$B$2:$B$5)))</f>
        <v>Ηρακλείου</v>
      </c>
      <c r="D26" t="str" cm="1">
        <f t="array" aca="1" ref="D26" ca="1">INDEX(ΛΙΣΤΕΣ!$C$2:$C$13, RANDBETWEEN(1, COUNTA(ΛΙΣΤΕΣ!$C$2:$C$13)))</f>
        <v>Αύγουστος</v>
      </c>
      <c r="E26" s="6">
        <f t="shared" ca="1" si="1"/>
        <v>325</v>
      </c>
      <c r="F26" s="6">
        <f t="shared" ca="1" si="2"/>
        <v>122</v>
      </c>
      <c r="G26" s="10">
        <f t="shared" ca="1" si="3"/>
        <v>39650</v>
      </c>
      <c r="H26" s="9">
        <f t="shared" ca="1" si="0"/>
        <v>39650</v>
      </c>
    </row>
    <row r="27" spans="1:13" x14ac:dyDescent="0.3">
      <c r="A27" s="6">
        <v>26</v>
      </c>
      <c r="B27" t="str" cm="1">
        <f t="array" aca="1" ref="B27" ca="1">INDEX(ΛΙΣΤΕΣ!$A$2:$A$8, RANDBETWEEN(1, COUNTA(ΛΙΣΤΕΣ!$A$2:$A$8)))</f>
        <v>Προϊον Γ</v>
      </c>
      <c r="C27" t="str" cm="1">
        <f t="array" aca="1" ref="C27" ca="1">INDEX(ΛΙΣΤΕΣ!$B$2:$B$5, RANDBETWEEN(1, COUNTA(ΛΙΣΤΕΣ!$B$2:$B$5)))</f>
        <v>Λασιθίου</v>
      </c>
      <c r="D27" t="str" cm="1">
        <f t="array" aca="1" ref="D27" ca="1">INDEX(ΛΙΣΤΕΣ!$C$2:$C$13, RANDBETWEEN(1, COUNTA(ΛΙΣΤΕΣ!$C$2:$C$13)))</f>
        <v>Αύγουστος</v>
      </c>
      <c r="E27" s="6">
        <f t="shared" ca="1" si="1"/>
        <v>61</v>
      </c>
      <c r="F27" s="6">
        <f t="shared" ca="1" si="2"/>
        <v>34</v>
      </c>
      <c r="G27" s="10">
        <f t="shared" ca="1" si="3"/>
        <v>2074</v>
      </c>
      <c r="H27" s="9">
        <f t="shared" ca="1" si="0"/>
        <v>2074</v>
      </c>
    </row>
    <row r="28" spans="1:13" x14ac:dyDescent="0.3">
      <c r="A28" s="6">
        <v>27</v>
      </c>
      <c r="B28" t="str" cm="1">
        <f t="array" aca="1" ref="B28" ca="1">INDEX(ΛΙΣΤΕΣ!$A$2:$A$8, RANDBETWEEN(1, COUNTA(ΛΙΣΤΕΣ!$A$2:$A$8)))</f>
        <v>Προϊον Γ</v>
      </c>
      <c r="C28" t="str" cm="1">
        <f t="array" aca="1" ref="C28" ca="1">INDEX(ΛΙΣΤΕΣ!$B$2:$B$5, RANDBETWEEN(1, COUNTA(ΛΙΣΤΕΣ!$B$2:$B$5)))</f>
        <v>Χανίων</v>
      </c>
      <c r="D28" t="str" cm="1">
        <f t="array" aca="1" ref="D28" ca="1">INDEX(ΛΙΣΤΕΣ!$C$2:$C$13, RANDBETWEEN(1, COUNTA(ΛΙΣΤΕΣ!$C$2:$C$13)))</f>
        <v>Δεκέμβριος</v>
      </c>
      <c r="E28" s="6">
        <f t="shared" ca="1" si="1"/>
        <v>394</v>
      </c>
      <c r="F28" s="6">
        <f t="shared" ca="1" si="2"/>
        <v>51</v>
      </c>
      <c r="G28" s="10">
        <f t="shared" ca="1" si="3"/>
        <v>20094</v>
      </c>
      <c r="H28" s="9">
        <f t="shared" ca="1" si="0"/>
        <v>20094</v>
      </c>
    </row>
    <row r="29" spans="1:13" x14ac:dyDescent="0.3">
      <c r="A29" s="6">
        <v>28</v>
      </c>
      <c r="B29" t="str" cm="1">
        <f t="array" aca="1" ref="B29" ca="1">INDEX(ΛΙΣΤΕΣ!$A$2:$A$8, RANDBETWEEN(1, COUNTA(ΛΙΣΤΕΣ!$A$2:$A$8)))</f>
        <v>Προϊον Α</v>
      </c>
      <c r="C29" t="str" cm="1">
        <f t="array" aca="1" ref="C29" ca="1">INDEX(ΛΙΣΤΕΣ!$B$2:$B$5, RANDBETWEEN(1, COUNTA(ΛΙΣΤΕΣ!$B$2:$B$5)))</f>
        <v>Ηρακλείου</v>
      </c>
      <c r="D29" t="str" cm="1">
        <f t="array" aca="1" ref="D29" ca="1">INDEX(ΛΙΣΤΕΣ!$C$2:$C$13, RANDBETWEEN(1, COUNTA(ΛΙΣΤΕΣ!$C$2:$C$13)))</f>
        <v>Ιούνιος</v>
      </c>
      <c r="E29" s="6">
        <f t="shared" ca="1" si="1"/>
        <v>128</v>
      </c>
      <c r="F29" s="6">
        <f t="shared" ca="1" si="2"/>
        <v>124</v>
      </c>
      <c r="G29" s="10">
        <f t="shared" ca="1" si="3"/>
        <v>15872</v>
      </c>
      <c r="H29" s="9">
        <f t="shared" ca="1" si="0"/>
        <v>18252.8</v>
      </c>
    </row>
    <row r="30" spans="1:13" x14ac:dyDescent="0.3">
      <c r="A30" s="6">
        <v>29</v>
      </c>
      <c r="B30" t="str" cm="1">
        <f t="array" aca="1" ref="B30" ca="1">INDEX(ΛΙΣΤΕΣ!$A$2:$A$8, RANDBETWEEN(1, COUNTA(ΛΙΣΤΕΣ!$A$2:$A$8)))</f>
        <v>Υπηρεσία Γ</v>
      </c>
      <c r="C30" t="str" cm="1">
        <f t="array" aca="1" ref="C30" ca="1">INDEX(ΛΙΣΤΕΣ!$B$2:$B$5, RANDBETWEEN(1, COUNTA(ΛΙΣΤΕΣ!$B$2:$B$5)))</f>
        <v>Λασιθίου</v>
      </c>
      <c r="D30" t="str" cm="1">
        <f t="array" aca="1" ref="D30" ca="1">INDEX(ΛΙΣΤΕΣ!$C$2:$C$13, RANDBETWEEN(1, COUNTA(ΛΙΣΤΕΣ!$C$2:$C$13)))</f>
        <v>Ιούνιος</v>
      </c>
      <c r="E30" s="6">
        <f t="shared" ca="1" si="1"/>
        <v>478</v>
      </c>
      <c r="F30" s="6">
        <f t="shared" ca="1" si="2"/>
        <v>78</v>
      </c>
      <c r="G30" s="10">
        <f t="shared" ca="1" si="3"/>
        <v>37284</v>
      </c>
      <c r="H30" s="9">
        <f t="shared" ca="1" si="0"/>
        <v>42876.6</v>
      </c>
    </row>
    <row r="31" spans="1:13" x14ac:dyDescent="0.3">
      <c r="A31" s="6">
        <v>30</v>
      </c>
      <c r="B31" t="str" cm="1">
        <f t="array" aca="1" ref="B31" ca="1">INDEX(ΛΙΣΤΕΣ!$A$2:$A$8, RANDBETWEEN(1, COUNTA(ΛΙΣΤΕΣ!$A$2:$A$8)))</f>
        <v>Προϊον Β</v>
      </c>
      <c r="C31" t="str" cm="1">
        <f t="array" aca="1" ref="C31" ca="1">INDEX(ΛΙΣΤΕΣ!$B$2:$B$5, RANDBETWEEN(1, COUNTA(ΛΙΣΤΕΣ!$B$2:$B$5)))</f>
        <v>Ρεθύμνου</v>
      </c>
      <c r="D31" t="str" cm="1">
        <f t="array" aca="1" ref="D31" ca="1">INDEX(ΛΙΣΤΕΣ!$C$2:$C$13, RANDBETWEEN(1, COUNTA(ΛΙΣΤΕΣ!$C$2:$C$13)))</f>
        <v>Νοέμβριος</v>
      </c>
      <c r="E31" s="6">
        <f t="shared" ca="1" si="1"/>
        <v>439</v>
      </c>
      <c r="F31" s="6">
        <f t="shared" ca="1" si="2"/>
        <v>101</v>
      </c>
      <c r="G31" s="10">
        <f t="shared" ca="1" si="3"/>
        <v>44339</v>
      </c>
      <c r="H31" s="9">
        <f t="shared" ca="1" si="0"/>
        <v>50989.85</v>
      </c>
    </row>
    <row r="32" spans="1:13" x14ac:dyDescent="0.3">
      <c r="A32" s="6">
        <v>31</v>
      </c>
      <c r="B32" t="str" cm="1">
        <f t="array" aca="1" ref="B32" ca="1">INDEX(ΛΙΣΤΕΣ!$A$2:$A$8, RANDBETWEEN(1, COUNTA(ΛΙΣΤΕΣ!$A$2:$A$8)))</f>
        <v>Υπηρεσία Γ</v>
      </c>
      <c r="C32" t="str" cm="1">
        <f t="array" aca="1" ref="C32" ca="1">INDEX(ΛΙΣΤΕΣ!$B$2:$B$5, RANDBETWEEN(1, COUNTA(ΛΙΣΤΕΣ!$B$2:$B$5)))</f>
        <v>Λασιθίου</v>
      </c>
      <c r="D32" t="str" cm="1">
        <f t="array" aca="1" ref="D32" ca="1">INDEX(ΛΙΣΤΕΣ!$C$2:$C$13, RANDBETWEEN(1, COUNTA(ΛΙΣΤΕΣ!$C$2:$C$13)))</f>
        <v>Νοέμβριος</v>
      </c>
      <c r="E32" s="6">
        <f t="shared" ca="1" si="1"/>
        <v>399</v>
      </c>
      <c r="F32" s="6">
        <f t="shared" ca="1" si="2"/>
        <v>134</v>
      </c>
      <c r="G32" s="10">
        <f t="shared" ca="1" si="3"/>
        <v>53466</v>
      </c>
      <c r="H32" s="9">
        <f t="shared" ca="1" si="0"/>
        <v>61485.899999999994</v>
      </c>
    </row>
    <row r="33" spans="1:8" x14ac:dyDescent="0.3">
      <c r="A33" s="6">
        <v>32</v>
      </c>
      <c r="B33" t="str" cm="1">
        <f t="array" aca="1" ref="B33" ca="1">INDEX(ΛΙΣΤΕΣ!$A$2:$A$8, RANDBETWEEN(1, COUNTA(ΛΙΣΤΕΣ!$A$2:$A$8)))</f>
        <v>Προϊον Β</v>
      </c>
      <c r="C33" t="str" cm="1">
        <f t="array" aca="1" ref="C33" ca="1">INDEX(ΛΙΣΤΕΣ!$B$2:$B$5, RANDBETWEEN(1, COUNTA(ΛΙΣΤΕΣ!$B$2:$B$5)))</f>
        <v>Ηρακλείου</v>
      </c>
      <c r="D33" t="str" cm="1">
        <f t="array" aca="1" ref="D33" ca="1">INDEX(ΛΙΣΤΕΣ!$C$2:$C$13, RANDBETWEEN(1, COUNTA(ΛΙΣΤΕΣ!$C$2:$C$13)))</f>
        <v>Μάιος</v>
      </c>
      <c r="E33" s="6">
        <f t="shared" ca="1" si="1"/>
        <v>351</v>
      </c>
      <c r="F33" s="6">
        <f t="shared" ca="1" si="2"/>
        <v>6</v>
      </c>
      <c r="G33" s="10">
        <f t="shared" ca="1" si="3"/>
        <v>2106</v>
      </c>
      <c r="H33" s="9">
        <f t="shared" ca="1" si="0"/>
        <v>2106</v>
      </c>
    </row>
    <row r="34" spans="1:8" x14ac:dyDescent="0.3">
      <c r="A34" s="6">
        <v>33</v>
      </c>
      <c r="B34" t="str" cm="1">
        <f t="array" aca="1" ref="B34" ca="1">INDEX(ΛΙΣΤΕΣ!$A$2:$A$8, RANDBETWEEN(1, COUNTA(ΛΙΣΤΕΣ!$A$2:$A$8)))</f>
        <v>Προϊον Γ</v>
      </c>
      <c r="C34" t="str" cm="1">
        <f t="array" aca="1" ref="C34" ca="1">INDEX(ΛΙΣΤΕΣ!$B$2:$B$5, RANDBETWEEN(1, COUNTA(ΛΙΣΤΕΣ!$B$2:$B$5)))</f>
        <v>Χανίων</v>
      </c>
      <c r="D34" t="str" cm="1">
        <f t="array" aca="1" ref="D34" ca="1">INDEX(ΛΙΣΤΕΣ!$C$2:$C$13, RANDBETWEEN(1, COUNTA(ΛΙΣΤΕΣ!$C$2:$C$13)))</f>
        <v>Αύγουστος</v>
      </c>
      <c r="E34" s="6">
        <f t="shared" ca="1" si="1"/>
        <v>488</v>
      </c>
      <c r="F34" s="6">
        <f t="shared" ca="1" si="2"/>
        <v>17</v>
      </c>
      <c r="G34" s="10">
        <f t="shared" ca="1" si="3"/>
        <v>8296</v>
      </c>
      <c r="H34" s="9">
        <f t="shared" ca="1" si="0"/>
        <v>9540.4</v>
      </c>
    </row>
    <row r="35" spans="1:8" x14ac:dyDescent="0.3">
      <c r="A35" s="6">
        <v>34</v>
      </c>
      <c r="B35" t="str" cm="1">
        <f t="array" aca="1" ref="B35" ca="1">INDEX(ΛΙΣΤΕΣ!$A$2:$A$8, RANDBETWEEN(1, COUNTA(ΛΙΣΤΕΣ!$A$2:$A$8)))</f>
        <v>Υπηρεσία Γ</v>
      </c>
      <c r="C35" t="str" cm="1">
        <f t="array" aca="1" ref="C35" ca="1">INDEX(ΛΙΣΤΕΣ!$B$2:$B$5, RANDBETWEEN(1, COUNTA(ΛΙΣΤΕΣ!$B$2:$B$5)))</f>
        <v>Λασιθίου</v>
      </c>
      <c r="D35" t="str" cm="1">
        <f t="array" aca="1" ref="D35" ca="1">INDEX(ΛΙΣΤΕΣ!$C$2:$C$13, RANDBETWEEN(1, COUNTA(ΛΙΣΤΕΣ!$C$2:$C$13)))</f>
        <v>Μάιος</v>
      </c>
      <c r="E35" s="6">
        <f t="shared" ca="1" si="1"/>
        <v>406</v>
      </c>
      <c r="F35" s="6">
        <f t="shared" ca="1" si="2"/>
        <v>39</v>
      </c>
      <c r="G35" s="10">
        <f t="shared" ca="1" si="3"/>
        <v>15834</v>
      </c>
      <c r="H35" s="9">
        <f t="shared" ca="1" si="0"/>
        <v>18209.099999999999</v>
      </c>
    </row>
    <row r="36" spans="1:8" x14ac:dyDescent="0.3">
      <c r="A36" s="6">
        <v>35</v>
      </c>
      <c r="B36" t="str" cm="1">
        <f t="array" aca="1" ref="B36" ca="1">INDEX(ΛΙΣΤΕΣ!$A$2:$A$8, RANDBETWEEN(1, COUNTA(ΛΙΣΤΕΣ!$A$2:$A$8)))</f>
        <v>Προϊον Γ</v>
      </c>
      <c r="C36" t="str" cm="1">
        <f t="array" aca="1" ref="C36" ca="1">INDEX(ΛΙΣΤΕΣ!$B$2:$B$5, RANDBETWEEN(1, COUNTA(ΛΙΣΤΕΣ!$B$2:$B$5)))</f>
        <v>Ηρακλείου</v>
      </c>
      <c r="D36" t="str" cm="1">
        <f t="array" aca="1" ref="D36" ca="1">INDEX(ΛΙΣΤΕΣ!$C$2:$C$13, RANDBETWEEN(1, COUNTA(ΛΙΣΤΕΣ!$C$2:$C$13)))</f>
        <v>Απρίλιος</v>
      </c>
      <c r="E36" s="6">
        <f t="shared" ca="1" si="1"/>
        <v>214</v>
      </c>
      <c r="F36" s="6">
        <f t="shared" ca="1" si="2"/>
        <v>60</v>
      </c>
      <c r="G36" s="10">
        <f t="shared" ca="1" si="3"/>
        <v>12840</v>
      </c>
      <c r="H36" s="9">
        <f t="shared" ca="1" si="0"/>
        <v>14765.999999999998</v>
      </c>
    </row>
    <row r="37" spans="1:8" x14ac:dyDescent="0.3">
      <c r="A37" s="6">
        <v>36</v>
      </c>
      <c r="B37" t="str" cm="1">
        <f t="array" aca="1" ref="B37" ca="1">INDEX(ΛΙΣΤΕΣ!$A$2:$A$8, RANDBETWEEN(1, COUNTA(ΛΙΣΤΕΣ!$A$2:$A$8)))</f>
        <v>Υπηρεσία Γ</v>
      </c>
      <c r="C37" t="str" cm="1">
        <f t="array" aca="1" ref="C37" ca="1">INDEX(ΛΙΣΤΕΣ!$B$2:$B$5, RANDBETWEEN(1, COUNTA(ΛΙΣΤΕΣ!$B$2:$B$5)))</f>
        <v>Ηρακλείου</v>
      </c>
      <c r="D37" t="str" cm="1">
        <f t="array" aca="1" ref="D37" ca="1">INDEX(ΛΙΣΤΕΣ!$C$2:$C$13, RANDBETWEEN(1, COUNTA(ΛΙΣΤΕΣ!$C$2:$C$13)))</f>
        <v>Σεπτέμβριος</v>
      </c>
      <c r="E37" s="6">
        <f t="shared" ca="1" si="1"/>
        <v>42</v>
      </c>
      <c r="F37" s="6">
        <f t="shared" ca="1" si="2"/>
        <v>86</v>
      </c>
      <c r="G37" s="10">
        <f t="shared" ca="1" si="3"/>
        <v>3612</v>
      </c>
      <c r="H37" s="9">
        <f t="shared" ca="1" si="0"/>
        <v>3612</v>
      </c>
    </row>
    <row r="38" spans="1:8" x14ac:dyDescent="0.3">
      <c r="A38" s="6">
        <v>37</v>
      </c>
      <c r="B38" t="str" cm="1">
        <f t="array" aca="1" ref="B38" ca="1">INDEX(ΛΙΣΤΕΣ!$A$2:$A$8, RANDBETWEEN(1, COUNTA(ΛΙΣΤΕΣ!$A$2:$A$8)))</f>
        <v>Υπηρεσία Γ</v>
      </c>
      <c r="C38" t="str" cm="1">
        <f t="array" aca="1" ref="C38" ca="1">INDEX(ΛΙΣΤΕΣ!$B$2:$B$5, RANDBETWEEN(1, COUNTA(ΛΙΣΤΕΣ!$B$2:$B$5)))</f>
        <v>Λασιθίου</v>
      </c>
      <c r="D38" t="str" cm="1">
        <f t="array" aca="1" ref="D38" ca="1">INDEX(ΛΙΣΤΕΣ!$C$2:$C$13, RANDBETWEEN(1, COUNTA(ΛΙΣΤΕΣ!$C$2:$C$13)))</f>
        <v>Μάιος</v>
      </c>
      <c r="E38" s="6">
        <f t="shared" ca="1" si="1"/>
        <v>310</v>
      </c>
      <c r="F38" s="6">
        <f t="shared" ca="1" si="2"/>
        <v>117</v>
      </c>
      <c r="G38" s="10">
        <f t="shared" ca="1" si="3"/>
        <v>36270</v>
      </c>
      <c r="H38" s="9">
        <f t="shared" ca="1" si="0"/>
        <v>36270</v>
      </c>
    </row>
    <row r="39" spans="1:8" x14ac:dyDescent="0.3">
      <c r="A39" s="6">
        <v>38</v>
      </c>
      <c r="B39" t="str" cm="1">
        <f t="array" aca="1" ref="B39" ca="1">INDEX(ΛΙΣΤΕΣ!$A$2:$A$8, RANDBETWEEN(1, COUNTA(ΛΙΣΤΕΣ!$A$2:$A$8)))</f>
        <v>Υπηρεσία Β</v>
      </c>
      <c r="C39" t="str" cm="1">
        <f t="array" aca="1" ref="C39" ca="1">INDEX(ΛΙΣΤΕΣ!$B$2:$B$5, RANDBETWEEN(1, COUNTA(ΛΙΣΤΕΣ!$B$2:$B$5)))</f>
        <v>Ηρακλείου</v>
      </c>
      <c r="D39" t="str" cm="1">
        <f t="array" aca="1" ref="D39" ca="1">INDEX(ΛΙΣΤΕΣ!$C$2:$C$13, RANDBETWEEN(1, COUNTA(ΛΙΣΤΕΣ!$C$2:$C$13)))</f>
        <v>Φεβρουάριος</v>
      </c>
      <c r="E39" s="6">
        <f t="shared" ca="1" si="1"/>
        <v>64</v>
      </c>
      <c r="F39" s="6">
        <f t="shared" ca="1" si="2"/>
        <v>119</v>
      </c>
      <c r="G39" s="10">
        <f t="shared" ca="1" si="3"/>
        <v>7616</v>
      </c>
      <c r="H39" s="9">
        <f t="shared" ca="1" si="0"/>
        <v>8758.4</v>
      </c>
    </row>
    <row r="40" spans="1:8" x14ac:dyDescent="0.3">
      <c r="A40" s="6">
        <v>39</v>
      </c>
      <c r="B40" t="str" cm="1">
        <f t="array" aca="1" ref="B40" ca="1">INDEX(ΛΙΣΤΕΣ!$A$2:$A$8, RANDBETWEEN(1, COUNTA(ΛΙΣΤΕΣ!$A$2:$A$8)))</f>
        <v>Προϊον Γ</v>
      </c>
      <c r="C40" t="str" cm="1">
        <f t="array" aca="1" ref="C40" ca="1">INDEX(ΛΙΣΤΕΣ!$B$2:$B$5, RANDBETWEEN(1, COUNTA(ΛΙΣΤΕΣ!$B$2:$B$5)))</f>
        <v>Ρεθύμνου</v>
      </c>
      <c r="D40" t="str" cm="1">
        <f t="array" aca="1" ref="D40" ca="1">INDEX(ΛΙΣΤΕΣ!$C$2:$C$13, RANDBETWEEN(1, COUNTA(ΛΙΣΤΕΣ!$C$2:$C$13)))</f>
        <v>Ιούλιος</v>
      </c>
      <c r="E40" s="6">
        <f t="shared" ca="1" si="1"/>
        <v>18</v>
      </c>
      <c r="F40" s="6">
        <f t="shared" ca="1" si="2"/>
        <v>86</v>
      </c>
      <c r="G40" s="10">
        <f t="shared" ca="1" si="3"/>
        <v>1548</v>
      </c>
      <c r="H40" s="9">
        <f t="shared" ca="1" si="0"/>
        <v>1548</v>
      </c>
    </row>
    <row r="41" spans="1:8" x14ac:dyDescent="0.3">
      <c r="A41" s="6">
        <v>40</v>
      </c>
      <c r="B41" t="str" cm="1">
        <f t="array" aca="1" ref="B41" ca="1">INDEX(ΛΙΣΤΕΣ!$A$2:$A$8, RANDBETWEEN(1, COUNTA(ΛΙΣΤΕΣ!$A$2:$A$8)))</f>
        <v>Προϊον Β</v>
      </c>
      <c r="C41" t="str" cm="1">
        <f t="array" aca="1" ref="C41" ca="1">INDEX(ΛΙΣΤΕΣ!$B$2:$B$5, RANDBETWEEN(1, COUNTA(ΛΙΣΤΕΣ!$B$2:$B$5)))</f>
        <v>Λασιθίου</v>
      </c>
      <c r="D41" t="str" cm="1">
        <f t="array" aca="1" ref="D41" ca="1">INDEX(ΛΙΣΤΕΣ!$C$2:$C$13, RANDBETWEEN(1, COUNTA(ΛΙΣΤΕΣ!$C$2:$C$13)))</f>
        <v>Μάιος</v>
      </c>
      <c r="E41" s="6">
        <f t="shared" ca="1" si="1"/>
        <v>482</v>
      </c>
      <c r="F41" s="6">
        <f t="shared" ca="1" si="2"/>
        <v>36</v>
      </c>
      <c r="G41" s="10">
        <f t="shared" ca="1" si="3"/>
        <v>17352</v>
      </c>
      <c r="H41" s="9">
        <f t="shared" ca="1" si="0"/>
        <v>19954.8</v>
      </c>
    </row>
    <row r="42" spans="1:8" x14ac:dyDescent="0.3">
      <c r="A42" s="6">
        <v>41</v>
      </c>
      <c r="B42" t="str" cm="1">
        <f t="array" aca="1" ref="B42" ca="1">INDEX(ΛΙΣΤΕΣ!$A$2:$A$8, RANDBETWEEN(1, COUNTA(ΛΙΣΤΕΣ!$A$2:$A$8)))</f>
        <v>Υπηρεσία Β</v>
      </c>
      <c r="C42" t="str" cm="1">
        <f t="array" aca="1" ref="C42" ca="1">INDEX(ΛΙΣΤΕΣ!$B$2:$B$5, RANDBETWEEN(1, COUNTA(ΛΙΣΤΕΣ!$B$2:$B$5)))</f>
        <v>Χανίων</v>
      </c>
      <c r="D42" t="str" cm="1">
        <f t="array" aca="1" ref="D42" ca="1">INDEX(ΛΙΣΤΕΣ!$C$2:$C$13, RANDBETWEEN(1, COUNTA(ΛΙΣΤΕΣ!$C$2:$C$13)))</f>
        <v>Μάρτιος</v>
      </c>
      <c r="E42" s="6">
        <f t="shared" ca="1" si="1"/>
        <v>292</v>
      </c>
      <c r="F42" s="6">
        <f t="shared" ca="1" si="2"/>
        <v>98</v>
      </c>
      <c r="G42" s="10">
        <f t="shared" ca="1" si="3"/>
        <v>28616</v>
      </c>
      <c r="H42" s="9">
        <f t="shared" ca="1" si="0"/>
        <v>32908.399999999994</v>
      </c>
    </row>
    <row r="43" spans="1:8" x14ac:dyDescent="0.3">
      <c r="A43" s="6">
        <v>42</v>
      </c>
      <c r="B43" t="str" cm="1">
        <f t="array" aca="1" ref="B43" ca="1">INDEX(ΛΙΣΤΕΣ!$A$2:$A$8, RANDBETWEEN(1, COUNTA(ΛΙΣΤΕΣ!$A$2:$A$8)))</f>
        <v>Προϊον Γ</v>
      </c>
      <c r="C43" t="str" cm="1">
        <f t="array" aca="1" ref="C43" ca="1">INDEX(ΛΙΣΤΕΣ!$B$2:$B$5, RANDBETWEEN(1, COUNTA(ΛΙΣΤΕΣ!$B$2:$B$5)))</f>
        <v>Ρεθύμνου</v>
      </c>
      <c r="D43" t="str" cm="1">
        <f t="array" aca="1" ref="D43" ca="1">INDEX(ΛΙΣΤΕΣ!$C$2:$C$13, RANDBETWEEN(1, COUNTA(ΛΙΣΤΕΣ!$C$2:$C$13)))</f>
        <v>Μάρτιος</v>
      </c>
      <c r="E43" s="6">
        <f t="shared" ca="1" si="1"/>
        <v>222</v>
      </c>
      <c r="F43" s="6">
        <f t="shared" ca="1" si="2"/>
        <v>100</v>
      </c>
      <c r="G43" s="10">
        <f t="shared" ca="1" si="3"/>
        <v>22200</v>
      </c>
      <c r="H43" s="9">
        <f t="shared" ca="1" si="0"/>
        <v>22200</v>
      </c>
    </row>
    <row r="44" spans="1:8" x14ac:dyDescent="0.3">
      <c r="A44" s="6">
        <v>43</v>
      </c>
      <c r="B44" t="str" cm="1">
        <f t="array" aca="1" ref="B44" ca="1">INDEX(ΛΙΣΤΕΣ!$A$2:$A$8, RANDBETWEEN(1, COUNTA(ΛΙΣΤΕΣ!$A$2:$A$8)))</f>
        <v>Προϊον Β</v>
      </c>
      <c r="C44" t="str" cm="1">
        <f t="array" aca="1" ref="C44" ca="1">INDEX(ΛΙΣΤΕΣ!$B$2:$B$5, RANDBETWEEN(1, COUNTA(ΛΙΣΤΕΣ!$B$2:$B$5)))</f>
        <v>Ηρακλείου</v>
      </c>
      <c r="D44" t="str" cm="1">
        <f t="array" aca="1" ref="D44" ca="1">INDEX(ΛΙΣΤΕΣ!$C$2:$C$13, RANDBETWEEN(1, COUNTA(ΛΙΣΤΕΣ!$C$2:$C$13)))</f>
        <v>Φεβρουάριος</v>
      </c>
      <c r="E44" s="6">
        <f t="shared" ca="1" si="1"/>
        <v>98</v>
      </c>
      <c r="F44" s="6">
        <f t="shared" ca="1" si="2"/>
        <v>84</v>
      </c>
      <c r="G44" s="10">
        <f t="shared" ca="1" si="3"/>
        <v>8232</v>
      </c>
      <c r="H44" s="9">
        <f t="shared" ca="1" si="0"/>
        <v>8232</v>
      </c>
    </row>
    <row r="45" spans="1:8" x14ac:dyDescent="0.3">
      <c r="A45" s="6">
        <v>44</v>
      </c>
      <c r="B45" t="str" cm="1">
        <f t="array" aca="1" ref="B45" ca="1">INDEX(ΛΙΣΤΕΣ!$A$2:$A$8, RANDBETWEEN(1, COUNTA(ΛΙΣΤΕΣ!$A$2:$A$8)))</f>
        <v>Υπηρεσία Γ</v>
      </c>
      <c r="C45" t="str" cm="1">
        <f t="array" aca="1" ref="C45" ca="1">INDEX(ΛΙΣΤΕΣ!$B$2:$B$5, RANDBETWEEN(1, COUNTA(ΛΙΣΤΕΣ!$B$2:$B$5)))</f>
        <v>Χανίων</v>
      </c>
      <c r="D45" t="str" cm="1">
        <f t="array" aca="1" ref="D45" ca="1">INDEX(ΛΙΣΤΕΣ!$C$2:$C$13, RANDBETWEEN(1, COUNTA(ΛΙΣΤΕΣ!$C$2:$C$13)))</f>
        <v>Μάιος</v>
      </c>
      <c r="E45" s="6">
        <f t="shared" ca="1" si="1"/>
        <v>279</v>
      </c>
      <c r="F45" s="6">
        <f t="shared" ca="1" si="2"/>
        <v>12</v>
      </c>
      <c r="G45" s="10">
        <f t="shared" ca="1" si="3"/>
        <v>3348</v>
      </c>
      <c r="H45" s="9">
        <f t="shared" ca="1" si="0"/>
        <v>3348</v>
      </c>
    </row>
    <row r="46" spans="1:8" x14ac:dyDescent="0.3">
      <c r="A46" s="6">
        <v>45</v>
      </c>
      <c r="B46" t="str" cm="1">
        <f t="array" aca="1" ref="B46" ca="1">INDEX(ΛΙΣΤΕΣ!$A$2:$A$8, RANDBETWEEN(1, COUNTA(ΛΙΣΤΕΣ!$A$2:$A$8)))</f>
        <v>Υπηρεσία Γ</v>
      </c>
      <c r="C46" t="str" cm="1">
        <f t="array" aca="1" ref="C46" ca="1">INDEX(ΛΙΣΤΕΣ!$B$2:$B$5, RANDBETWEEN(1, COUNTA(ΛΙΣΤΕΣ!$B$2:$B$5)))</f>
        <v>Χανίων</v>
      </c>
      <c r="D46" t="str" cm="1">
        <f t="array" aca="1" ref="D46" ca="1">INDEX(ΛΙΣΤΕΣ!$C$2:$C$13, RANDBETWEEN(1, COUNTA(ΛΙΣΤΕΣ!$C$2:$C$13)))</f>
        <v>Ιούλιος</v>
      </c>
      <c r="E46" s="6">
        <f t="shared" ca="1" si="1"/>
        <v>16</v>
      </c>
      <c r="F46" s="6">
        <f t="shared" ca="1" si="2"/>
        <v>80</v>
      </c>
      <c r="G46" s="10">
        <f t="shared" ca="1" si="3"/>
        <v>1280</v>
      </c>
      <c r="H46" s="9">
        <f t="shared" ca="1" si="0"/>
        <v>1280</v>
      </c>
    </row>
    <row r="47" spans="1:8" x14ac:dyDescent="0.3">
      <c r="A47" s="6">
        <v>46</v>
      </c>
      <c r="B47" t="str" cm="1">
        <f t="array" aca="1" ref="B47" ca="1">INDEX(ΛΙΣΤΕΣ!$A$2:$A$8, RANDBETWEEN(1, COUNTA(ΛΙΣΤΕΣ!$A$2:$A$8)))</f>
        <v>Προϊον Γ</v>
      </c>
      <c r="C47" t="str" cm="1">
        <f t="array" aca="1" ref="C47" ca="1">INDEX(ΛΙΣΤΕΣ!$B$2:$B$5, RANDBETWEEN(1, COUNTA(ΛΙΣΤΕΣ!$B$2:$B$5)))</f>
        <v>Ηρακλείου</v>
      </c>
      <c r="D47" t="str" cm="1">
        <f t="array" aca="1" ref="D47" ca="1">INDEX(ΛΙΣΤΕΣ!$C$2:$C$13, RANDBETWEEN(1, COUNTA(ΛΙΣΤΕΣ!$C$2:$C$13)))</f>
        <v>Οκτώβριος</v>
      </c>
      <c r="E47" s="6">
        <f t="shared" ca="1" si="1"/>
        <v>39</v>
      </c>
      <c r="F47" s="6">
        <f t="shared" ca="1" si="2"/>
        <v>131</v>
      </c>
      <c r="G47" s="10">
        <f t="shared" ca="1" si="3"/>
        <v>5109</v>
      </c>
      <c r="H47" s="9">
        <f t="shared" ca="1" si="0"/>
        <v>5875.3499999999995</v>
      </c>
    </row>
    <row r="48" spans="1:8" x14ac:dyDescent="0.3">
      <c r="A48" s="6">
        <v>47</v>
      </c>
      <c r="B48" t="str" cm="1">
        <f t="array" aca="1" ref="B48" ca="1">INDEX(ΛΙΣΤΕΣ!$A$2:$A$8, RANDBETWEEN(1, COUNTA(ΛΙΣΤΕΣ!$A$2:$A$8)))</f>
        <v>Υπηρεσία Α</v>
      </c>
      <c r="C48" t="str" cm="1">
        <f t="array" aca="1" ref="C48" ca="1">INDEX(ΛΙΣΤΕΣ!$B$2:$B$5, RANDBETWEEN(1, COUNTA(ΛΙΣΤΕΣ!$B$2:$B$5)))</f>
        <v>Λασιθίου</v>
      </c>
      <c r="D48" t="str" cm="1">
        <f t="array" aca="1" ref="D48" ca="1">INDEX(ΛΙΣΤΕΣ!$C$2:$C$13, RANDBETWEEN(1, COUNTA(ΛΙΣΤΕΣ!$C$2:$C$13)))</f>
        <v>Μάρτιος</v>
      </c>
      <c r="E48" s="6">
        <f t="shared" ca="1" si="1"/>
        <v>474</v>
      </c>
      <c r="F48" s="6">
        <f t="shared" ca="1" si="2"/>
        <v>130</v>
      </c>
      <c r="G48" s="10">
        <f t="shared" ca="1" si="3"/>
        <v>61620</v>
      </c>
      <c r="H48" s="9">
        <f t="shared" ca="1" si="0"/>
        <v>61620</v>
      </c>
    </row>
    <row r="49" spans="1:8" x14ac:dyDescent="0.3">
      <c r="A49" s="6">
        <v>48</v>
      </c>
      <c r="B49" t="str" cm="1">
        <f t="array" aca="1" ref="B49" ca="1">INDEX(ΛΙΣΤΕΣ!$A$2:$A$8, RANDBETWEEN(1, COUNTA(ΛΙΣΤΕΣ!$A$2:$A$8)))</f>
        <v>Προϊον Γ</v>
      </c>
      <c r="C49" t="str" cm="1">
        <f t="array" aca="1" ref="C49" ca="1">INDEX(ΛΙΣΤΕΣ!$B$2:$B$5, RANDBETWEEN(1, COUNTA(ΛΙΣΤΕΣ!$B$2:$B$5)))</f>
        <v>Λασιθίου</v>
      </c>
      <c r="D49" t="str" cm="1">
        <f t="array" aca="1" ref="D49" ca="1">INDEX(ΛΙΣΤΕΣ!$C$2:$C$13, RANDBETWEEN(1, COUNTA(ΛΙΣΤΕΣ!$C$2:$C$13)))</f>
        <v>Δεκέμβριος</v>
      </c>
      <c r="E49" s="6">
        <f t="shared" ca="1" si="1"/>
        <v>497</v>
      </c>
      <c r="F49" s="6">
        <f t="shared" ca="1" si="2"/>
        <v>14</v>
      </c>
      <c r="G49" s="10">
        <f t="shared" ca="1" si="3"/>
        <v>6958</v>
      </c>
      <c r="H49" s="9">
        <f t="shared" ca="1" si="0"/>
        <v>8001.7</v>
      </c>
    </row>
    <row r="50" spans="1:8" x14ac:dyDescent="0.3">
      <c r="A50" s="6">
        <v>49</v>
      </c>
      <c r="B50" t="str" cm="1">
        <f t="array" aca="1" ref="B50" ca="1">INDEX(ΛΙΣΤΕΣ!$A$2:$A$8, RANDBETWEEN(1, COUNTA(ΛΙΣΤΕΣ!$A$2:$A$8)))</f>
        <v>Προϊον Β</v>
      </c>
      <c r="C50" t="str" cm="1">
        <f t="array" aca="1" ref="C50" ca="1">INDEX(ΛΙΣΤΕΣ!$B$2:$B$5, RANDBETWEEN(1, COUNTA(ΛΙΣΤΕΣ!$B$2:$B$5)))</f>
        <v>Ρεθύμνου</v>
      </c>
      <c r="D50" t="str" cm="1">
        <f t="array" aca="1" ref="D50" ca="1">INDEX(ΛΙΣΤΕΣ!$C$2:$C$13, RANDBETWEEN(1, COUNTA(ΛΙΣΤΕΣ!$C$2:$C$13)))</f>
        <v>Οκτώβριος</v>
      </c>
      <c r="E50" s="6">
        <f t="shared" ca="1" si="1"/>
        <v>86</v>
      </c>
      <c r="F50" s="6">
        <f t="shared" ca="1" si="2"/>
        <v>57</v>
      </c>
      <c r="G50" s="10">
        <f t="shared" ca="1" si="3"/>
        <v>4902</v>
      </c>
      <c r="H50" s="9">
        <f t="shared" ca="1" si="0"/>
        <v>5637.2999999999993</v>
      </c>
    </row>
    <row r="51" spans="1:8" x14ac:dyDescent="0.3">
      <c r="A51" s="6">
        <v>50</v>
      </c>
      <c r="B51" t="str" cm="1">
        <f t="array" aca="1" ref="B51" ca="1">INDEX(ΛΙΣΤΕΣ!$A$2:$A$8, RANDBETWEEN(1, COUNTA(ΛΙΣΤΕΣ!$A$2:$A$8)))</f>
        <v>Υπηρεσία Β</v>
      </c>
      <c r="C51" t="str" cm="1">
        <f t="array" aca="1" ref="C51" ca="1">INDEX(ΛΙΣΤΕΣ!$B$2:$B$5, RANDBETWEEN(1, COUNTA(ΛΙΣΤΕΣ!$B$2:$B$5)))</f>
        <v>Ρεθύμνου</v>
      </c>
      <c r="D51" t="str" cm="1">
        <f t="array" aca="1" ref="D51" ca="1">INDEX(ΛΙΣΤΕΣ!$C$2:$C$13, RANDBETWEEN(1, COUNTA(ΛΙΣΤΕΣ!$C$2:$C$13)))</f>
        <v>Νοέμβριος</v>
      </c>
      <c r="E51" s="6">
        <f t="shared" ca="1" si="1"/>
        <v>460</v>
      </c>
      <c r="F51" s="6">
        <f t="shared" ca="1" si="2"/>
        <v>79</v>
      </c>
      <c r="G51" s="10">
        <f t="shared" ca="1" si="3"/>
        <v>36340</v>
      </c>
      <c r="H51" s="9">
        <f t="shared" ca="1" si="0"/>
        <v>41791</v>
      </c>
    </row>
    <row r="52" spans="1:8" x14ac:dyDescent="0.3">
      <c r="A52" s="6">
        <v>51</v>
      </c>
      <c r="B52" t="str" cm="1">
        <f t="array" aca="1" ref="B52" ca="1">INDEX(ΛΙΣΤΕΣ!$A$2:$A$8, RANDBETWEEN(1, COUNTA(ΛΙΣΤΕΣ!$A$2:$A$8)))</f>
        <v>Προϊον Γ</v>
      </c>
      <c r="C52" t="str" cm="1">
        <f t="array" aca="1" ref="C52" ca="1">INDEX(ΛΙΣΤΕΣ!$B$2:$B$5, RANDBETWEEN(1, COUNTA(ΛΙΣΤΕΣ!$B$2:$B$5)))</f>
        <v>Λασιθίου</v>
      </c>
      <c r="D52" t="str" cm="1">
        <f t="array" aca="1" ref="D52" ca="1">INDEX(ΛΙΣΤΕΣ!$C$2:$C$13, RANDBETWEEN(1, COUNTA(ΛΙΣΤΕΣ!$C$2:$C$13)))</f>
        <v>Αύγουστος</v>
      </c>
      <c r="E52" s="6">
        <f t="shared" ca="1" si="1"/>
        <v>312</v>
      </c>
      <c r="F52" s="6">
        <f t="shared" ca="1" si="2"/>
        <v>13</v>
      </c>
      <c r="G52" s="10">
        <f t="shared" ca="1" si="3"/>
        <v>4056</v>
      </c>
      <c r="H52" s="9">
        <f t="shared" ca="1" si="0"/>
        <v>4664.3999999999996</v>
      </c>
    </row>
    <row r="53" spans="1:8" x14ac:dyDescent="0.3">
      <c r="A53" s="6">
        <v>52</v>
      </c>
      <c r="B53" t="str" cm="1">
        <f t="array" aca="1" ref="B53" ca="1">INDEX(ΛΙΣΤΕΣ!$A$2:$A$8, RANDBETWEEN(1, COUNTA(ΛΙΣΤΕΣ!$A$2:$A$8)))</f>
        <v>Προϊον Δ</v>
      </c>
      <c r="C53" t="str" cm="1">
        <f t="array" aca="1" ref="C53" ca="1">INDEX(ΛΙΣΤΕΣ!$B$2:$B$5, RANDBETWEEN(1, COUNTA(ΛΙΣΤΕΣ!$B$2:$B$5)))</f>
        <v>Ρεθύμνου</v>
      </c>
      <c r="D53" t="str" cm="1">
        <f t="array" aca="1" ref="D53" ca="1">INDEX(ΛΙΣΤΕΣ!$C$2:$C$13, RANDBETWEEN(1, COUNTA(ΛΙΣΤΕΣ!$C$2:$C$13)))</f>
        <v>Δεκέμβριος</v>
      </c>
      <c r="E53" s="6">
        <f t="shared" ca="1" si="1"/>
        <v>194</v>
      </c>
      <c r="F53" s="6">
        <f t="shared" ca="1" si="2"/>
        <v>126</v>
      </c>
      <c r="G53" s="10">
        <f t="shared" ca="1" si="3"/>
        <v>24444</v>
      </c>
      <c r="H53" s="9">
        <f t="shared" ca="1" si="0"/>
        <v>24444</v>
      </c>
    </row>
    <row r="54" spans="1:8" x14ac:dyDescent="0.3">
      <c r="A54" s="6">
        <v>53</v>
      </c>
      <c r="B54" t="str" cm="1">
        <f t="array" aca="1" ref="B54" ca="1">INDEX(ΛΙΣΤΕΣ!$A$2:$A$8, RANDBETWEEN(1, COUNTA(ΛΙΣΤΕΣ!$A$2:$A$8)))</f>
        <v>Προϊον Β</v>
      </c>
      <c r="C54" t="str" cm="1">
        <f t="array" aca="1" ref="C54" ca="1">INDEX(ΛΙΣΤΕΣ!$B$2:$B$5, RANDBETWEEN(1, COUNTA(ΛΙΣΤΕΣ!$B$2:$B$5)))</f>
        <v>Λασιθίου</v>
      </c>
      <c r="D54" t="str" cm="1">
        <f t="array" aca="1" ref="D54" ca="1">INDEX(ΛΙΣΤΕΣ!$C$2:$C$13, RANDBETWEEN(1, COUNTA(ΛΙΣΤΕΣ!$C$2:$C$13)))</f>
        <v>Ιανουάριος</v>
      </c>
      <c r="E54" s="6">
        <f t="shared" ca="1" si="1"/>
        <v>200</v>
      </c>
      <c r="F54" s="6">
        <f t="shared" ca="1" si="2"/>
        <v>137</v>
      </c>
      <c r="G54" s="10">
        <f t="shared" ca="1" si="3"/>
        <v>27400</v>
      </c>
      <c r="H54" s="9">
        <f t="shared" ca="1" si="0"/>
        <v>27400</v>
      </c>
    </row>
    <row r="55" spans="1:8" x14ac:dyDescent="0.3">
      <c r="A55" s="6">
        <v>54</v>
      </c>
      <c r="B55" t="str" cm="1">
        <f t="array" aca="1" ref="B55" ca="1">INDEX(ΛΙΣΤΕΣ!$A$2:$A$8, RANDBETWEEN(1, COUNTA(ΛΙΣΤΕΣ!$A$2:$A$8)))</f>
        <v>Υπηρεσία Α</v>
      </c>
      <c r="C55" t="str" cm="1">
        <f t="array" aca="1" ref="C55" ca="1">INDEX(ΛΙΣΤΕΣ!$B$2:$B$5, RANDBETWEEN(1, COUNTA(ΛΙΣΤΕΣ!$B$2:$B$5)))</f>
        <v>Λασιθίου</v>
      </c>
      <c r="D55" t="str" cm="1">
        <f t="array" aca="1" ref="D55" ca="1">INDEX(ΛΙΣΤΕΣ!$C$2:$C$13, RANDBETWEEN(1, COUNTA(ΛΙΣΤΕΣ!$C$2:$C$13)))</f>
        <v>Οκτώβριος</v>
      </c>
      <c r="E55" s="6">
        <f t="shared" ca="1" si="1"/>
        <v>464</v>
      </c>
      <c r="F55" s="6">
        <f t="shared" ca="1" si="2"/>
        <v>67</v>
      </c>
      <c r="G55" s="10">
        <f t="shared" ca="1" si="3"/>
        <v>31088</v>
      </c>
      <c r="H55" s="9">
        <f t="shared" ca="1" si="0"/>
        <v>31088</v>
      </c>
    </row>
    <row r="56" spans="1:8" x14ac:dyDescent="0.3">
      <c r="A56" s="6">
        <v>55</v>
      </c>
      <c r="B56" t="str" cm="1">
        <f t="array" aca="1" ref="B56" ca="1">INDEX(ΛΙΣΤΕΣ!$A$2:$A$8, RANDBETWEEN(1, COUNTA(ΛΙΣΤΕΣ!$A$2:$A$8)))</f>
        <v>Προϊον Δ</v>
      </c>
      <c r="C56" t="str" cm="1">
        <f t="array" aca="1" ref="C56" ca="1">INDEX(ΛΙΣΤΕΣ!$B$2:$B$5, RANDBETWEEN(1, COUNTA(ΛΙΣΤΕΣ!$B$2:$B$5)))</f>
        <v>Λασιθίου</v>
      </c>
      <c r="D56" t="str" cm="1">
        <f t="array" aca="1" ref="D56" ca="1">INDEX(ΛΙΣΤΕΣ!$C$2:$C$13, RANDBETWEEN(1, COUNTA(ΛΙΣΤΕΣ!$C$2:$C$13)))</f>
        <v>Αύγουστος</v>
      </c>
      <c r="E56" s="6">
        <f t="shared" ca="1" si="1"/>
        <v>256</v>
      </c>
      <c r="F56" s="6">
        <f t="shared" ca="1" si="2"/>
        <v>93</v>
      </c>
      <c r="G56" s="10">
        <f t="shared" ca="1" si="3"/>
        <v>23808</v>
      </c>
      <c r="H56" s="9">
        <f t="shared" ca="1" si="0"/>
        <v>23808</v>
      </c>
    </row>
    <row r="57" spans="1:8" x14ac:dyDescent="0.3">
      <c r="A57" s="6">
        <v>56</v>
      </c>
      <c r="B57" t="str" cm="1">
        <f t="array" aca="1" ref="B57" ca="1">INDEX(ΛΙΣΤΕΣ!$A$2:$A$8, RANDBETWEEN(1, COUNTA(ΛΙΣΤΕΣ!$A$2:$A$8)))</f>
        <v>Υπηρεσία Β</v>
      </c>
      <c r="C57" t="str" cm="1">
        <f t="array" aca="1" ref="C57" ca="1">INDEX(ΛΙΣΤΕΣ!$B$2:$B$5, RANDBETWEEN(1, COUNTA(ΛΙΣΤΕΣ!$B$2:$B$5)))</f>
        <v>Χανίων</v>
      </c>
      <c r="D57" t="str" cm="1">
        <f t="array" aca="1" ref="D57" ca="1">INDEX(ΛΙΣΤΕΣ!$C$2:$C$13, RANDBETWEEN(1, COUNTA(ΛΙΣΤΕΣ!$C$2:$C$13)))</f>
        <v>Σεπτέμβριος</v>
      </c>
      <c r="E57" s="6">
        <f t="shared" ca="1" si="1"/>
        <v>448</v>
      </c>
      <c r="F57" s="6">
        <f t="shared" ca="1" si="2"/>
        <v>139</v>
      </c>
      <c r="G57" s="10">
        <f t="shared" ca="1" si="3"/>
        <v>62272</v>
      </c>
      <c r="H57" s="9">
        <f t="shared" ca="1" si="0"/>
        <v>62272</v>
      </c>
    </row>
    <row r="58" spans="1:8" x14ac:dyDescent="0.3">
      <c r="A58" s="6">
        <v>57</v>
      </c>
      <c r="B58" t="str" cm="1">
        <f t="array" aca="1" ref="B58" ca="1">INDEX(ΛΙΣΤΕΣ!$A$2:$A$8, RANDBETWEEN(1, COUNTA(ΛΙΣΤΕΣ!$A$2:$A$8)))</f>
        <v>Προϊον Δ</v>
      </c>
      <c r="C58" t="str" cm="1">
        <f t="array" aca="1" ref="C58" ca="1">INDEX(ΛΙΣΤΕΣ!$B$2:$B$5, RANDBETWEEN(1, COUNTA(ΛΙΣΤΕΣ!$B$2:$B$5)))</f>
        <v>Λασιθίου</v>
      </c>
      <c r="D58" t="str" cm="1">
        <f t="array" aca="1" ref="D58" ca="1">INDEX(ΛΙΣΤΕΣ!$C$2:$C$13, RANDBETWEEN(1, COUNTA(ΛΙΣΤΕΣ!$C$2:$C$13)))</f>
        <v>Φεβρουάριος</v>
      </c>
      <c r="E58" s="6">
        <f t="shared" ca="1" si="1"/>
        <v>485</v>
      </c>
      <c r="F58" s="6">
        <f t="shared" ca="1" si="2"/>
        <v>127</v>
      </c>
      <c r="G58" s="10">
        <f t="shared" ca="1" si="3"/>
        <v>61595</v>
      </c>
      <c r="H58" s="9">
        <f t="shared" ca="1" si="0"/>
        <v>70834.25</v>
      </c>
    </row>
    <row r="59" spans="1:8" x14ac:dyDescent="0.3">
      <c r="A59" s="6">
        <v>58</v>
      </c>
      <c r="B59" t="str" cm="1">
        <f t="array" aca="1" ref="B59" ca="1">INDEX(ΛΙΣΤΕΣ!$A$2:$A$8, RANDBETWEEN(1, COUNTA(ΛΙΣΤΕΣ!$A$2:$A$8)))</f>
        <v>Προϊον Δ</v>
      </c>
      <c r="C59" t="str" cm="1">
        <f t="array" aca="1" ref="C59" ca="1">INDEX(ΛΙΣΤΕΣ!$B$2:$B$5, RANDBETWEEN(1, COUNTA(ΛΙΣΤΕΣ!$B$2:$B$5)))</f>
        <v>Χανίων</v>
      </c>
      <c r="D59" t="str" cm="1">
        <f t="array" aca="1" ref="D59" ca="1">INDEX(ΛΙΣΤΕΣ!$C$2:$C$13, RANDBETWEEN(1, COUNTA(ΛΙΣΤΕΣ!$C$2:$C$13)))</f>
        <v>Ιανουάριος</v>
      </c>
      <c r="E59" s="6">
        <f t="shared" ca="1" si="1"/>
        <v>170</v>
      </c>
      <c r="F59" s="6">
        <f t="shared" ca="1" si="2"/>
        <v>67</v>
      </c>
      <c r="G59" s="10">
        <f t="shared" ca="1" si="3"/>
        <v>11390</v>
      </c>
      <c r="H59" s="9">
        <f t="shared" ca="1" si="0"/>
        <v>13098.499999999998</v>
      </c>
    </row>
    <row r="60" spans="1:8" x14ac:dyDescent="0.3">
      <c r="A60" s="6">
        <v>59</v>
      </c>
      <c r="B60" t="str" cm="1">
        <f t="array" aca="1" ref="B60" ca="1">INDEX(ΛΙΣΤΕΣ!$A$2:$A$8, RANDBETWEEN(1, COUNTA(ΛΙΣΤΕΣ!$A$2:$A$8)))</f>
        <v>Προϊον Α</v>
      </c>
      <c r="C60" t="str" cm="1">
        <f t="array" aca="1" ref="C60" ca="1">INDEX(ΛΙΣΤΕΣ!$B$2:$B$5, RANDBETWEEN(1, COUNTA(ΛΙΣΤΕΣ!$B$2:$B$5)))</f>
        <v>Χανίων</v>
      </c>
      <c r="D60" t="str" cm="1">
        <f t="array" aca="1" ref="D60" ca="1">INDEX(ΛΙΣΤΕΣ!$C$2:$C$13, RANDBETWEEN(1, COUNTA(ΛΙΣΤΕΣ!$C$2:$C$13)))</f>
        <v>Ιανουάριος</v>
      </c>
      <c r="E60" s="6">
        <f t="shared" ca="1" si="1"/>
        <v>346</v>
      </c>
      <c r="F60" s="6">
        <f t="shared" ca="1" si="2"/>
        <v>110</v>
      </c>
      <c r="G60" s="10">
        <f t="shared" ca="1" si="3"/>
        <v>38060</v>
      </c>
      <c r="H60" s="9">
        <f t="shared" ca="1" si="0"/>
        <v>38060</v>
      </c>
    </row>
    <row r="61" spans="1:8" x14ac:dyDescent="0.3">
      <c r="A61" s="6">
        <v>60</v>
      </c>
      <c r="B61" t="str" cm="1">
        <f t="array" aca="1" ref="B61" ca="1">INDEX(ΛΙΣΤΕΣ!$A$2:$A$8, RANDBETWEEN(1, COUNTA(ΛΙΣΤΕΣ!$A$2:$A$8)))</f>
        <v>Προϊον Γ</v>
      </c>
      <c r="C61" t="str" cm="1">
        <f t="array" aca="1" ref="C61" ca="1">INDEX(ΛΙΣΤΕΣ!$B$2:$B$5, RANDBETWEEN(1, COUNTA(ΛΙΣΤΕΣ!$B$2:$B$5)))</f>
        <v>Χανίων</v>
      </c>
      <c r="D61" t="str" cm="1">
        <f t="array" aca="1" ref="D61" ca="1">INDEX(ΛΙΣΤΕΣ!$C$2:$C$13, RANDBETWEEN(1, COUNTA(ΛΙΣΤΕΣ!$C$2:$C$13)))</f>
        <v>Σεπτέμβριος</v>
      </c>
      <c r="E61" s="6">
        <f t="shared" ca="1" si="1"/>
        <v>319</v>
      </c>
      <c r="F61" s="6">
        <f t="shared" ca="1" si="2"/>
        <v>47</v>
      </c>
      <c r="G61" s="10">
        <f t="shared" ca="1" si="3"/>
        <v>14993</v>
      </c>
      <c r="H61" s="9">
        <f t="shared" ca="1" si="0"/>
        <v>17241.949999999997</v>
      </c>
    </row>
    <row r="62" spans="1:8" x14ac:dyDescent="0.3">
      <c r="A62" s="6">
        <v>61</v>
      </c>
      <c r="B62" t="str" cm="1">
        <f t="array" aca="1" ref="B62" ca="1">INDEX(ΛΙΣΤΕΣ!$A$2:$A$8, RANDBETWEEN(1, COUNTA(ΛΙΣΤΕΣ!$A$2:$A$8)))</f>
        <v>Υπηρεσία Β</v>
      </c>
      <c r="C62" t="str" cm="1">
        <f t="array" aca="1" ref="C62" ca="1">INDEX(ΛΙΣΤΕΣ!$B$2:$B$5, RANDBETWEEN(1, COUNTA(ΛΙΣΤΕΣ!$B$2:$B$5)))</f>
        <v>Ηρακλείου</v>
      </c>
      <c r="D62" t="str" cm="1">
        <f t="array" aca="1" ref="D62" ca="1">INDEX(ΛΙΣΤΕΣ!$C$2:$C$13, RANDBETWEEN(1, COUNTA(ΛΙΣΤΕΣ!$C$2:$C$13)))</f>
        <v>Απρίλιος</v>
      </c>
      <c r="E62" s="6">
        <f t="shared" ca="1" si="1"/>
        <v>367</v>
      </c>
      <c r="F62" s="6">
        <f t="shared" ca="1" si="2"/>
        <v>144</v>
      </c>
      <c r="G62" s="10">
        <f t="shared" ca="1" si="3"/>
        <v>52848</v>
      </c>
      <c r="H62" s="9">
        <f t="shared" ca="1" si="0"/>
        <v>52848</v>
      </c>
    </row>
    <row r="63" spans="1:8" x14ac:dyDescent="0.3">
      <c r="A63" s="6">
        <v>62</v>
      </c>
      <c r="B63" t="str" cm="1">
        <f t="array" aca="1" ref="B63" ca="1">INDEX(ΛΙΣΤΕΣ!$A$2:$A$8, RANDBETWEEN(1, COUNTA(ΛΙΣΤΕΣ!$A$2:$A$8)))</f>
        <v>Προϊον Α</v>
      </c>
      <c r="C63" t="str" cm="1">
        <f t="array" aca="1" ref="C63" ca="1">INDEX(ΛΙΣΤΕΣ!$B$2:$B$5, RANDBETWEEN(1, COUNTA(ΛΙΣΤΕΣ!$B$2:$B$5)))</f>
        <v>Λασιθίου</v>
      </c>
      <c r="D63" t="str" cm="1">
        <f t="array" aca="1" ref="D63" ca="1">INDEX(ΛΙΣΤΕΣ!$C$2:$C$13, RANDBETWEEN(1, COUNTA(ΛΙΣΤΕΣ!$C$2:$C$13)))</f>
        <v>Δεκέμβριος</v>
      </c>
      <c r="E63" s="6">
        <f t="shared" ca="1" si="1"/>
        <v>480</v>
      </c>
      <c r="F63" s="6">
        <f t="shared" ca="1" si="2"/>
        <v>147</v>
      </c>
      <c r="G63" s="10">
        <f t="shared" ca="1" si="3"/>
        <v>70560</v>
      </c>
      <c r="H63" s="9">
        <f t="shared" ca="1" si="0"/>
        <v>70560</v>
      </c>
    </row>
    <row r="64" spans="1:8" x14ac:dyDescent="0.3">
      <c r="A64" s="6">
        <v>63</v>
      </c>
      <c r="B64" t="str" cm="1">
        <f t="array" aca="1" ref="B64" ca="1">INDEX(ΛΙΣΤΕΣ!$A$2:$A$8, RANDBETWEEN(1, COUNTA(ΛΙΣΤΕΣ!$A$2:$A$8)))</f>
        <v>Υπηρεσία Γ</v>
      </c>
      <c r="C64" t="str" cm="1">
        <f t="array" aca="1" ref="C64" ca="1">INDEX(ΛΙΣΤΕΣ!$B$2:$B$5, RANDBETWEEN(1, COUNTA(ΛΙΣΤΕΣ!$B$2:$B$5)))</f>
        <v>Ρεθύμνου</v>
      </c>
      <c r="D64" t="str" cm="1">
        <f t="array" aca="1" ref="D64" ca="1">INDEX(ΛΙΣΤΕΣ!$C$2:$C$13, RANDBETWEEN(1, COUNTA(ΛΙΣΤΕΣ!$C$2:$C$13)))</f>
        <v>Ιανουάριος</v>
      </c>
      <c r="E64" s="6">
        <f t="shared" ca="1" si="1"/>
        <v>327</v>
      </c>
      <c r="F64" s="6">
        <f t="shared" ca="1" si="2"/>
        <v>56</v>
      </c>
      <c r="G64" s="10">
        <f t="shared" ca="1" si="3"/>
        <v>18312</v>
      </c>
      <c r="H64" s="9">
        <f t="shared" ca="1" si="0"/>
        <v>21058.799999999999</v>
      </c>
    </row>
    <row r="65" spans="1:8" x14ac:dyDescent="0.3">
      <c r="A65" s="6">
        <v>64</v>
      </c>
      <c r="B65" t="str" cm="1">
        <f t="array" aca="1" ref="B65" ca="1">INDEX(ΛΙΣΤΕΣ!$A$2:$A$8, RANDBETWEEN(1, COUNTA(ΛΙΣΤΕΣ!$A$2:$A$8)))</f>
        <v>Προϊον Α</v>
      </c>
      <c r="C65" t="str" cm="1">
        <f t="array" aca="1" ref="C65" ca="1">INDEX(ΛΙΣΤΕΣ!$B$2:$B$5, RANDBETWEEN(1, COUNTA(ΛΙΣΤΕΣ!$B$2:$B$5)))</f>
        <v>Ηρακλείου</v>
      </c>
      <c r="D65" t="str" cm="1">
        <f t="array" aca="1" ref="D65" ca="1">INDEX(ΛΙΣΤΕΣ!$C$2:$C$13, RANDBETWEEN(1, COUNTA(ΛΙΣΤΕΣ!$C$2:$C$13)))</f>
        <v>Ιανουάριος</v>
      </c>
      <c r="E65" s="6">
        <f t="shared" ca="1" si="1"/>
        <v>485</v>
      </c>
      <c r="F65" s="6">
        <f t="shared" ca="1" si="2"/>
        <v>92</v>
      </c>
      <c r="G65" s="10">
        <f t="shared" ca="1" si="3"/>
        <v>44620</v>
      </c>
      <c r="H65" s="9">
        <f t="shared" ca="1" si="0"/>
        <v>44620</v>
      </c>
    </row>
    <row r="66" spans="1:8" x14ac:dyDescent="0.3">
      <c r="A66" s="6">
        <v>65</v>
      </c>
      <c r="B66" t="str" cm="1">
        <f t="array" aca="1" ref="B66" ca="1">INDEX(ΛΙΣΤΕΣ!$A$2:$A$8, RANDBETWEEN(1, COUNTA(ΛΙΣΤΕΣ!$A$2:$A$8)))</f>
        <v>Προϊον Δ</v>
      </c>
      <c r="C66" t="str" cm="1">
        <f t="array" aca="1" ref="C66" ca="1">INDEX(ΛΙΣΤΕΣ!$B$2:$B$5, RANDBETWEEN(1, COUNTA(ΛΙΣΤΕΣ!$B$2:$B$5)))</f>
        <v>Λασιθίου</v>
      </c>
      <c r="D66" t="str" cm="1">
        <f t="array" aca="1" ref="D66" ca="1">INDEX(ΛΙΣΤΕΣ!$C$2:$C$13, RANDBETWEEN(1, COUNTA(ΛΙΣΤΕΣ!$C$2:$C$13)))</f>
        <v>Νοέμβριος</v>
      </c>
      <c r="E66" s="6">
        <f t="shared" ca="1" si="1"/>
        <v>110</v>
      </c>
      <c r="F66" s="6">
        <f t="shared" ca="1" si="2"/>
        <v>43</v>
      </c>
      <c r="G66" s="10">
        <f t="shared" ref="G66:G129" ca="1" si="4">E66*F66</f>
        <v>4730</v>
      </c>
      <c r="H66" s="9">
        <f t="shared" ref="H66:H129" ca="1" si="5">G66*( 1 + 15% * RANDBETWEEN(0,1))</f>
        <v>5439.5</v>
      </c>
    </row>
    <row r="67" spans="1:8" x14ac:dyDescent="0.3">
      <c r="A67" s="6">
        <v>66</v>
      </c>
      <c r="B67" t="str" cm="1">
        <f t="array" aca="1" ref="B67" ca="1">INDEX(ΛΙΣΤΕΣ!$A$2:$A$8, RANDBETWEEN(1, COUNTA(ΛΙΣΤΕΣ!$A$2:$A$8)))</f>
        <v>Προϊον Γ</v>
      </c>
      <c r="C67" t="str" cm="1">
        <f t="array" aca="1" ref="C67" ca="1">INDEX(ΛΙΣΤΕΣ!$B$2:$B$5, RANDBETWEEN(1, COUNTA(ΛΙΣΤΕΣ!$B$2:$B$5)))</f>
        <v>Ρεθύμνου</v>
      </c>
      <c r="D67" t="str" cm="1">
        <f t="array" aca="1" ref="D67" ca="1">INDEX(ΛΙΣΤΕΣ!$C$2:$C$13, RANDBETWEEN(1, COUNTA(ΛΙΣΤΕΣ!$C$2:$C$13)))</f>
        <v>Αύγουστος</v>
      </c>
      <c r="E67" s="6">
        <f t="shared" ref="E67:E130" ca="1" si="6">RANDBETWEEN(10, 500)</f>
        <v>226</v>
      </c>
      <c r="F67" s="6">
        <f t="shared" ref="F67:F130" ca="1" si="7">RANDBETWEEN(5, 150)</f>
        <v>133</v>
      </c>
      <c r="G67" s="10">
        <f t="shared" ca="1" si="4"/>
        <v>30058</v>
      </c>
      <c r="H67" s="9">
        <f t="shared" ca="1" si="5"/>
        <v>30058</v>
      </c>
    </row>
    <row r="68" spans="1:8" x14ac:dyDescent="0.3">
      <c r="A68" s="6">
        <v>67</v>
      </c>
      <c r="B68" t="str" cm="1">
        <f t="array" aca="1" ref="B68" ca="1">INDEX(ΛΙΣΤΕΣ!$A$2:$A$8, RANDBETWEEN(1, COUNTA(ΛΙΣΤΕΣ!$A$2:$A$8)))</f>
        <v>Υπηρεσία Β</v>
      </c>
      <c r="C68" t="str" cm="1">
        <f t="array" aca="1" ref="C68" ca="1">INDEX(ΛΙΣΤΕΣ!$B$2:$B$5, RANDBETWEEN(1, COUNTA(ΛΙΣΤΕΣ!$B$2:$B$5)))</f>
        <v>Ηρακλείου</v>
      </c>
      <c r="D68" t="str" cm="1">
        <f t="array" aca="1" ref="D68" ca="1">INDEX(ΛΙΣΤΕΣ!$C$2:$C$13, RANDBETWEEN(1, COUNTA(ΛΙΣΤΕΣ!$C$2:$C$13)))</f>
        <v>Μάρτιος</v>
      </c>
      <c r="E68" s="6">
        <f t="shared" ca="1" si="6"/>
        <v>302</v>
      </c>
      <c r="F68" s="6">
        <f t="shared" ca="1" si="7"/>
        <v>61</v>
      </c>
      <c r="G68" s="10">
        <f t="shared" ca="1" si="4"/>
        <v>18422</v>
      </c>
      <c r="H68" s="9">
        <f t="shared" ca="1" si="5"/>
        <v>18422</v>
      </c>
    </row>
    <row r="69" spans="1:8" x14ac:dyDescent="0.3">
      <c r="A69" s="6">
        <v>68</v>
      </c>
      <c r="B69" t="str" cm="1">
        <f t="array" aca="1" ref="B69" ca="1">INDEX(ΛΙΣΤΕΣ!$A$2:$A$8, RANDBETWEEN(1, COUNTA(ΛΙΣΤΕΣ!$A$2:$A$8)))</f>
        <v>Προϊον Β</v>
      </c>
      <c r="C69" t="str" cm="1">
        <f t="array" aca="1" ref="C69" ca="1">INDEX(ΛΙΣΤΕΣ!$B$2:$B$5, RANDBETWEEN(1, COUNTA(ΛΙΣΤΕΣ!$B$2:$B$5)))</f>
        <v>Ρεθύμνου</v>
      </c>
      <c r="D69" t="str" cm="1">
        <f t="array" aca="1" ref="D69" ca="1">INDEX(ΛΙΣΤΕΣ!$C$2:$C$13, RANDBETWEEN(1, COUNTA(ΛΙΣΤΕΣ!$C$2:$C$13)))</f>
        <v>Νοέμβριος</v>
      </c>
      <c r="E69" s="6">
        <f t="shared" ca="1" si="6"/>
        <v>125</v>
      </c>
      <c r="F69" s="6">
        <f t="shared" ca="1" si="7"/>
        <v>18</v>
      </c>
      <c r="G69" s="10">
        <f t="shared" ca="1" si="4"/>
        <v>2250</v>
      </c>
      <c r="H69" s="9">
        <f t="shared" ca="1" si="5"/>
        <v>2587.5</v>
      </c>
    </row>
    <row r="70" spans="1:8" x14ac:dyDescent="0.3">
      <c r="A70" s="6">
        <v>69</v>
      </c>
      <c r="B70" t="str" cm="1">
        <f t="array" aca="1" ref="B70" ca="1">INDEX(ΛΙΣΤΕΣ!$A$2:$A$8, RANDBETWEEN(1, COUNTA(ΛΙΣΤΕΣ!$A$2:$A$8)))</f>
        <v>Υπηρεσία Γ</v>
      </c>
      <c r="C70" t="str" cm="1">
        <f t="array" aca="1" ref="C70" ca="1">INDEX(ΛΙΣΤΕΣ!$B$2:$B$5, RANDBETWEEN(1, COUNTA(ΛΙΣΤΕΣ!$B$2:$B$5)))</f>
        <v>Ηρακλείου</v>
      </c>
      <c r="D70" t="str" cm="1">
        <f t="array" aca="1" ref="D70" ca="1">INDEX(ΛΙΣΤΕΣ!$C$2:$C$13, RANDBETWEEN(1, COUNTA(ΛΙΣΤΕΣ!$C$2:$C$13)))</f>
        <v>Ιούλιος</v>
      </c>
      <c r="E70" s="6">
        <f t="shared" ca="1" si="6"/>
        <v>14</v>
      </c>
      <c r="F70" s="6">
        <f t="shared" ca="1" si="7"/>
        <v>68</v>
      </c>
      <c r="G70" s="10">
        <f t="shared" ca="1" si="4"/>
        <v>952</v>
      </c>
      <c r="H70" s="9">
        <f t="shared" ca="1" si="5"/>
        <v>1094.8</v>
      </c>
    </row>
    <row r="71" spans="1:8" x14ac:dyDescent="0.3">
      <c r="A71" s="6">
        <v>70</v>
      </c>
      <c r="B71" t="str" cm="1">
        <f t="array" aca="1" ref="B71" ca="1">INDEX(ΛΙΣΤΕΣ!$A$2:$A$8, RANDBETWEEN(1, COUNTA(ΛΙΣΤΕΣ!$A$2:$A$8)))</f>
        <v>Προϊον Α</v>
      </c>
      <c r="C71" t="str" cm="1">
        <f t="array" aca="1" ref="C71" ca="1">INDEX(ΛΙΣΤΕΣ!$B$2:$B$5, RANDBETWEEN(1, COUNTA(ΛΙΣΤΕΣ!$B$2:$B$5)))</f>
        <v>Ηρακλείου</v>
      </c>
      <c r="D71" t="str" cm="1">
        <f t="array" aca="1" ref="D71" ca="1">INDEX(ΛΙΣΤΕΣ!$C$2:$C$13, RANDBETWEEN(1, COUNTA(ΛΙΣΤΕΣ!$C$2:$C$13)))</f>
        <v>Απρίλιος</v>
      </c>
      <c r="E71" s="6">
        <f t="shared" ca="1" si="6"/>
        <v>193</v>
      </c>
      <c r="F71" s="6">
        <f t="shared" ca="1" si="7"/>
        <v>45</v>
      </c>
      <c r="G71" s="10">
        <f t="shared" ca="1" si="4"/>
        <v>8685</v>
      </c>
      <c r="H71" s="9">
        <f t="shared" ca="1" si="5"/>
        <v>8685</v>
      </c>
    </row>
    <row r="72" spans="1:8" x14ac:dyDescent="0.3">
      <c r="A72" s="6">
        <v>71</v>
      </c>
      <c r="B72" t="str" cm="1">
        <f t="array" aca="1" ref="B72" ca="1">INDEX(ΛΙΣΤΕΣ!$A$2:$A$8, RANDBETWEEN(1, COUNTA(ΛΙΣΤΕΣ!$A$2:$A$8)))</f>
        <v>Υπηρεσία Β</v>
      </c>
      <c r="C72" t="str" cm="1">
        <f t="array" aca="1" ref="C72" ca="1">INDEX(ΛΙΣΤΕΣ!$B$2:$B$5, RANDBETWEEN(1, COUNTA(ΛΙΣΤΕΣ!$B$2:$B$5)))</f>
        <v>Χανίων</v>
      </c>
      <c r="D72" t="str" cm="1">
        <f t="array" aca="1" ref="D72" ca="1">INDEX(ΛΙΣΤΕΣ!$C$2:$C$13, RANDBETWEEN(1, COUNTA(ΛΙΣΤΕΣ!$C$2:$C$13)))</f>
        <v>Ιούλιος</v>
      </c>
      <c r="E72" s="6">
        <f t="shared" ca="1" si="6"/>
        <v>320</v>
      </c>
      <c r="F72" s="6">
        <f t="shared" ca="1" si="7"/>
        <v>90</v>
      </c>
      <c r="G72" s="10">
        <f t="shared" ca="1" si="4"/>
        <v>28800</v>
      </c>
      <c r="H72" s="9">
        <f t="shared" ca="1" si="5"/>
        <v>33120</v>
      </c>
    </row>
    <row r="73" spans="1:8" x14ac:dyDescent="0.3">
      <c r="A73" s="6">
        <v>72</v>
      </c>
      <c r="B73" t="str" cm="1">
        <f t="array" aca="1" ref="B73" ca="1">INDEX(ΛΙΣΤΕΣ!$A$2:$A$8, RANDBETWEEN(1, COUNTA(ΛΙΣΤΕΣ!$A$2:$A$8)))</f>
        <v>Υπηρεσία Β</v>
      </c>
      <c r="C73" t="str" cm="1">
        <f t="array" aca="1" ref="C73" ca="1">INDEX(ΛΙΣΤΕΣ!$B$2:$B$5, RANDBETWEEN(1, COUNTA(ΛΙΣΤΕΣ!$B$2:$B$5)))</f>
        <v>Χανίων</v>
      </c>
      <c r="D73" t="str" cm="1">
        <f t="array" aca="1" ref="D73" ca="1">INDEX(ΛΙΣΤΕΣ!$C$2:$C$13, RANDBETWEEN(1, COUNTA(ΛΙΣΤΕΣ!$C$2:$C$13)))</f>
        <v>Ιούνιος</v>
      </c>
      <c r="E73" s="6">
        <f t="shared" ca="1" si="6"/>
        <v>344</v>
      </c>
      <c r="F73" s="6">
        <f t="shared" ca="1" si="7"/>
        <v>116</v>
      </c>
      <c r="G73" s="10">
        <f t="shared" ca="1" si="4"/>
        <v>39904</v>
      </c>
      <c r="H73" s="9">
        <f t="shared" ca="1" si="5"/>
        <v>45889.599999999999</v>
      </c>
    </row>
    <row r="74" spans="1:8" x14ac:dyDescent="0.3">
      <c r="A74" s="6">
        <v>73</v>
      </c>
      <c r="B74" t="str" cm="1">
        <f t="array" aca="1" ref="B74" ca="1">INDEX(ΛΙΣΤΕΣ!$A$2:$A$8, RANDBETWEEN(1, COUNTA(ΛΙΣΤΕΣ!$A$2:$A$8)))</f>
        <v>Προϊον Α</v>
      </c>
      <c r="C74" t="str" cm="1">
        <f t="array" aca="1" ref="C74" ca="1">INDEX(ΛΙΣΤΕΣ!$B$2:$B$5, RANDBETWEEN(1, COUNTA(ΛΙΣΤΕΣ!$B$2:$B$5)))</f>
        <v>Λασιθίου</v>
      </c>
      <c r="D74" t="str" cm="1">
        <f t="array" aca="1" ref="D74" ca="1">INDEX(ΛΙΣΤΕΣ!$C$2:$C$13, RANDBETWEEN(1, COUNTA(ΛΙΣΤΕΣ!$C$2:$C$13)))</f>
        <v>Σεπτέμβριος</v>
      </c>
      <c r="E74" s="6">
        <f t="shared" ca="1" si="6"/>
        <v>324</v>
      </c>
      <c r="F74" s="6">
        <f t="shared" ca="1" si="7"/>
        <v>37</v>
      </c>
      <c r="G74" s="10">
        <f t="shared" ca="1" si="4"/>
        <v>11988</v>
      </c>
      <c r="H74" s="9">
        <f t="shared" ca="1" si="5"/>
        <v>11988</v>
      </c>
    </row>
    <row r="75" spans="1:8" x14ac:dyDescent="0.3">
      <c r="A75" s="6">
        <v>74</v>
      </c>
      <c r="B75" t="str" cm="1">
        <f t="array" aca="1" ref="B75" ca="1">INDEX(ΛΙΣΤΕΣ!$A$2:$A$8, RANDBETWEEN(1, COUNTA(ΛΙΣΤΕΣ!$A$2:$A$8)))</f>
        <v>Υπηρεσία Γ</v>
      </c>
      <c r="C75" t="str" cm="1">
        <f t="array" aca="1" ref="C75" ca="1">INDEX(ΛΙΣΤΕΣ!$B$2:$B$5, RANDBETWEEN(1, COUNTA(ΛΙΣΤΕΣ!$B$2:$B$5)))</f>
        <v>Ηρακλείου</v>
      </c>
      <c r="D75" t="str" cm="1">
        <f t="array" aca="1" ref="D75" ca="1">INDEX(ΛΙΣΤΕΣ!$C$2:$C$13, RANDBETWEEN(1, COUNTA(ΛΙΣΤΕΣ!$C$2:$C$13)))</f>
        <v>Αύγουστος</v>
      </c>
      <c r="E75" s="6">
        <f t="shared" ca="1" si="6"/>
        <v>53</v>
      </c>
      <c r="F75" s="6">
        <f t="shared" ca="1" si="7"/>
        <v>43</v>
      </c>
      <c r="G75" s="10">
        <f t="shared" ca="1" si="4"/>
        <v>2279</v>
      </c>
      <c r="H75" s="9">
        <f t="shared" ca="1" si="5"/>
        <v>2279</v>
      </c>
    </row>
    <row r="76" spans="1:8" x14ac:dyDescent="0.3">
      <c r="A76" s="6">
        <v>75</v>
      </c>
      <c r="B76" t="str" cm="1">
        <f t="array" aca="1" ref="B76" ca="1">INDEX(ΛΙΣΤΕΣ!$A$2:$A$8, RANDBETWEEN(1, COUNTA(ΛΙΣΤΕΣ!$A$2:$A$8)))</f>
        <v>Προϊον Γ</v>
      </c>
      <c r="C76" t="str" cm="1">
        <f t="array" aca="1" ref="C76" ca="1">INDEX(ΛΙΣΤΕΣ!$B$2:$B$5, RANDBETWEEN(1, COUNTA(ΛΙΣΤΕΣ!$B$2:$B$5)))</f>
        <v>Ρεθύμνου</v>
      </c>
      <c r="D76" t="str" cm="1">
        <f t="array" aca="1" ref="D76" ca="1">INDEX(ΛΙΣΤΕΣ!$C$2:$C$13, RANDBETWEEN(1, COUNTA(ΛΙΣΤΕΣ!$C$2:$C$13)))</f>
        <v>Ιούνιος</v>
      </c>
      <c r="E76" s="6">
        <f t="shared" ca="1" si="6"/>
        <v>196</v>
      </c>
      <c r="F76" s="6">
        <f t="shared" ca="1" si="7"/>
        <v>77</v>
      </c>
      <c r="G76" s="10">
        <f t="shared" ca="1" si="4"/>
        <v>15092</v>
      </c>
      <c r="H76" s="9">
        <f t="shared" ca="1" si="5"/>
        <v>17355.8</v>
      </c>
    </row>
    <row r="77" spans="1:8" x14ac:dyDescent="0.3">
      <c r="A77" s="6">
        <v>76</v>
      </c>
      <c r="B77" t="str" cm="1">
        <f t="array" aca="1" ref="B77" ca="1">INDEX(ΛΙΣΤΕΣ!$A$2:$A$8, RANDBETWEEN(1, COUNTA(ΛΙΣΤΕΣ!$A$2:$A$8)))</f>
        <v>Προϊον Γ</v>
      </c>
      <c r="C77" t="str" cm="1">
        <f t="array" aca="1" ref="C77" ca="1">INDEX(ΛΙΣΤΕΣ!$B$2:$B$5, RANDBETWEEN(1, COUNTA(ΛΙΣΤΕΣ!$B$2:$B$5)))</f>
        <v>Ηρακλείου</v>
      </c>
      <c r="D77" t="str" cm="1">
        <f t="array" aca="1" ref="D77" ca="1">INDEX(ΛΙΣΤΕΣ!$C$2:$C$13, RANDBETWEEN(1, COUNTA(ΛΙΣΤΕΣ!$C$2:$C$13)))</f>
        <v>Αύγουστος</v>
      </c>
      <c r="E77" s="6">
        <f t="shared" ca="1" si="6"/>
        <v>483</v>
      </c>
      <c r="F77" s="6">
        <f t="shared" ca="1" si="7"/>
        <v>62</v>
      </c>
      <c r="G77" s="10">
        <f t="shared" ca="1" si="4"/>
        <v>29946</v>
      </c>
      <c r="H77" s="9">
        <f t="shared" ca="1" si="5"/>
        <v>34437.899999999994</v>
      </c>
    </row>
    <row r="78" spans="1:8" x14ac:dyDescent="0.3">
      <c r="A78" s="6">
        <v>77</v>
      </c>
      <c r="B78" t="str" cm="1">
        <f t="array" aca="1" ref="B78" ca="1">INDEX(ΛΙΣΤΕΣ!$A$2:$A$8, RANDBETWEEN(1, COUNTA(ΛΙΣΤΕΣ!$A$2:$A$8)))</f>
        <v>Υπηρεσία Β</v>
      </c>
      <c r="C78" t="str" cm="1">
        <f t="array" aca="1" ref="C78" ca="1">INDEX(ΛΙΣΤΕΣ!$B$2:$B$5, RANDBETWEEN(1, COUNTA(ΛΙΣΤΕΣ!$B$2:$B$5)))</f>
        <v>Λασιθίου</v>
      </c>
      <c r="D78" t="str" cm="1">
        <f t="array" aca="1" ref="D78" ca="1">INDEX(ΛΙΣΤΕΣ!$C$2:$C$13, RANDBETWEEN(1, COUNTA(ΛΙΣΤΕΣ!$C$2:$C$13)))</f>
        <v>Ιούλιος</v>
      </c>
      <c r="E78" s="6">
        <f t="shared" ca="1" si="6"/>
        <v>272</v>
      </c>
      <c r="F78" s="6">
        <f t="shared" ca="1" si="7"/>
        <v>27</v>
      </c>
      <c r="G78" s="10">
        <f t="shared" ca="1" si="4"/>
        <v>7344</v>
      </c>
      <c r="H78" s="9">
        <f t="shared" ca="1" si="5"/>
        <v>8445.5999999999985</v>
      </c>
    </row>
    <row r="79" spans="1:8" x14ac:dyDescent="0.3">
      <c r="A79" s="6">
        <v>78</v>
      </c>
      <c r="B79" t="str" cm="1">
        <f t="array" aca="1" ref="B79" ca="1">INDEX(ΛΙΣΤΕΣ!$A$2:$A$8, RANDBETWEEN(1, COUNTA(ΛΙΣΤΕΣ!$A$2:$A$8)))</f>
        <v>Υπηρεσία Γ</v>
      </c>
      <c r="C79" t="str" cm="1">
        <f t="array" aca="1" ref="C79" ca="1">INDEX(ΛΙΣΤΕΣ!$B$2:$B$5, RANDBETWEEN(1, COUNTA(ΛΙΣΤΕΣ!$B$2:$B$5)))</f>
        <v>Ηρακλείου</v>
      </c>
      <c r="D79" t="str" cm="1">
        <f t="array" aca="1" ref="D79" ca="1">INDEX(ΛΙΣΤΕΣ!$C$2:$C$13, RANDBETWEEN(1, COUNTA(ΛΙΣΤΕΣ!$C$2:$C$13)))</f>
        <v>Ιούλιος</v>
      </c>
      <c r="E79" s="6">
        <f t="shared" ca="1" si="6"/>
        <v>300</v>
      </c>
      <c r="F79" s="6">
        <f t="shared" ca="1" si="7"/>
        <v>38</v>
      </c>
      <c r="G79" s="10">
        <f t="shared" ca="1" si="4"/>
        <v>11400</v>
      </c>
      <c r="H79" s="9">
        <f t="shared" ca="1" si="5"/>
        <v>13109.999999999998</v>
      </c>
    </row>
    <row r="80" spans="1:8" x14ac:dyDescent="0.3">
      <c r="A80" s="6">
        <v>79</v>
      </c>
      <c r="B80" t="str" cm="1">
        <f t="array" aca="1" ref="B80" ca="1">INDEX(ΛΙΣΤΕΣ!$A$2:$A$8, RANDBETWEEN(1, COUNTA(ΛΙΣΤΕΣ!$A$2:$A$8)))</f>
        <v>Προϊον Γ</v>
      </c>
      <c r="C80" t="str" cm="1">
        <f t="array" aca="1" ref="C80" ca="1">INDEX(ΛΙΣΤΕΣ!$B$2:$B$5, RANDBETWEEN(1, COUNTA(ΛΙΣΤΕΣ!$B$2:$B$5)))</f>
        <v>Λασιθίου</v>
      </c>
      <c r="D80" t="str" cm="1">
        <f t="array" aca="1" ref="D80" ca="1">INDEX(ΛΙΣΤΕΣ!$C$2:$C$13, RANDBETWEEN(1, COUNTA(ΛΙΣΤΕΣ!$C$2:$C$13)))</f>
        <v>Ιούνιος</v>
      </c>
      <c r="E80" s="6">
        <f t="shared" ca="1" si="6"/>
        <v>151</v>
      </c>
      <c r="F80" s="6">
        <f t="shared" ca="1" si="7"/>
        <v>76</v>
      </c>
      <c r="G80" s="10">
        <f t="shared" ca="1" si="4"/>
        <v>11476</v>
      </c>
      <c r="H80" s="9">
        <f t="shared" ca="1" si="5"/>
        <v>11476</v>
      </c>
    </row>
    <row r="81" spans="1:8" x14ac:dyDescent="0.3">
      <c r="A81" s="6">
        <v>80</v>
      </c>
      <c r="B81" t="str" cm="1">
        <f t="array" aca="1" ref="B81" ca="1">INDEX(ΛΙΣΤΕΣ!$A$2:$A$8, RANDBETWEEN(1, COUNTA(ΛΙΣΤΕΣ!$A$2:$A$8)))</f>
        <v>Προϊον Α</v>
      </c>
      <c r="C81" t="str" cm="1">
        <f t="array" aca="1" ref="C81" ca="1">INDEX(ΛΙΣΤΕΣ!$B$2:$B$5, RANDBETWEEN(1, COUNTA(ΛΙΣΤΕΣ!$B$2:$B$5)))</f>
        <v>Ηρακλείου</v>
      </c>
      <c r="D81" t="str" cm="1">
        <f t="array" aca="1" ref="D81" ca="1">INDEX(ΛΙΣΤΕΣ!$C$2:$C$13, RANDBETWEEN(1, COUNTA(ΛΙΣΤΕΣ!$C$2:$C$13)))</f>
        <v>Απρίλιος</v>
      </c>
      <c r="E81" s="6">
        <f t="shared" ca="1" si="6"/>
        <v>160</v>
      </c>
      <c r="F81" s="6">
        <f t="shared" ca="1" si="7"/>
        <v>74</v>
      </c>
      <c r="G81" s="10">
        <f t="shared" ca="1" si="4"/>
        <v>11840</v>
      </c>
      <c r="H81" s="9">
        <f t="shared" ca="1" si="5"/>
        <v>11840</v>
      </c>
    </row>
    <row r="82" spans="1:8" x14ac:dyDescent="0.3">
      <c r="A82" s="6">
        <v>81</v>
      </c>
      <c r="B82" t="str" cm="1">
        <f t="array" aca="1" ref="B82" ca="1">INDEX(ΛΙΣΤΕΣ!$A$2:$A$8, RANDBETWEEN(1, COUNTA(ΛΙΣΤΕΣ!$A$2:$A$8)))</f>
        <v>Προϊον Γ</v>
      </c>
      <c r="C82" t="str" cm="1">
        <f t="array" aca="1" ref="C82" ca="1">INDEX(ΛΙΣΤΕΣ!$B$2:$B$5, RANDBETWEEN(1, COUNTA(ΛΙΣΤΕΣ!$B$2:$B$5)))</f>
        <v>Ρεθύμνου</v>
      </c>
      <c r="D82" t="str" cm="1">
        <f t="array" aca="1" ref="D82" ca="1">INDEX(ΛΙΣΤΕΣ!$C$2:$C$13, RANDBETWEEN(1, COUNTA(ΛΙΣΤΕΣ!$C$2:$C$13)))</f>
        <v>Νοέμβριος</v>
      </c>
      <c r="E82" s="6">
        <f t="shared" ca="1" si="6"/>
        <v>172</v>
      </c>
      <c r="F82" s="6">
        <f t="shared" ca="1" si="7"/>
        <v>102</v>
      </c>
      <c r="G82" s="10">
        <f t="shared" ca="1" si="4"/>
        <v>17544</v>
      </c>
      <c r="H82" s="9">
        <f t="shared" ca="1" si="5"/>
        <v>20175.599999999999</v>
      </c>
    </row>
    <row r="83" spans="1:8" x14ac:dyDescent="0.3">
      <c r="A83" s="6">
        <v>82</v>
      </c>
      <c r="B83" t="str" cm="1">
        <f t="array" aca="1" ref="B83" ca="1">INDEX(ΛΙΣΤΕΣ!$A$2:$A$8, RANDBETWEEN(1, COUNTA(ΛΙΣΤΕΣ!$A$2:$A$8)))</f>
        <v>Υπηρεσία Γ</v>
      </c>
      <c r="C83" t="str" cm="1">
        <f t="array" aca="1" ref="C83" ca="1">INDEX(ΛΙΣΤΕΣ!$B$2:$B$5, RANDBETWEEN(1, COUNTA(ΛΙΣΤΕΣ!$B$2:$B$5)))</f>
        <v>Ρεθύμνου</v>
      </c>
      <c r="D83" t="str" cm="1">
        <f t="array" aca="1" ref="D83" ca="1">INDEX(ΛΙΣΤΕΣ!$C$2:$C$13, RANDBETWEEN(1, COUNTA(ΛΙΣΤΕΣ!$C$2:$C$13)))</f>
        <v>Οκτώβριος</v>
      </c>
      <c r="E83" s="6">
        <f t="shared" ca="1" si="6"/>
        <v>140</v>
      </c>
      <c r="F83" s="6">
        <f t="shared" ca="1" si="7"/>
        <v>91</v>
      </c>
      <c r="G83" s="10">
        <f t="shared" ca="1" si="4"/>
        <v>12740</v>
      </c>
      <c r="H83" s="9">
        <f t="shared" ca="1" si="5"/>
        <v>12740</v>
      </c>
    </row>
    <row r="84" spans="1:8" x14ac:dyDescent="0.3">
      <c r="A84" s="6">
        <v>83</v>
      </c>
      <c r="B84" t="str" cm="1">
        <f t="array" aca="1" ref="B84" ca="1">INDEX(ΛΙΣΤΕΣ!$A$2:$A$8, RANDBETWEEN(1, COUNTA(ΛΙΣΤΕΣ!$A$2:$A$8)))</f>
        <v>Υπηρεσία Γ</v>
      </c>
      <c r="C84" t="str" cm="1">
        <f t="array" aca="1" ref="C84" ca="1">INDEX(ΛΙΣΤΕΣ!$B$2:$B$5, RANDBETWEEN(1, COUNTA(ΛΙΣΤΕΣ!$B$2:$B$5)))</f>
        <v>Ηρακλείου</v>
      </c>
      <c r="D84" t="str" cm="1">
        <f t="array" aca="1" ref="D84" ca="1">INDEX(ΛΙΣΤΕΣ!$C$2:$C$13, RANDBETWEEN(1, COUNTA(ΛΙΣΤΕΣ!$C$2:$C$13)))</f>
        <v>Δεκέμβριος</v>
      </c>
      <c r="E84" s="6">
        <f t="shared" ca="1" si="6"/>
        <v>329</v>
      </c>
      <c r="F84" s="6">
        <f t="shared" ca="1" si="7"/>
        <v>55</v>
      </c>
      <c r="G84" s="10">
        <f t="shared" ca="1" si="4"/>
        <v>18095</v>
      </c>
      <c r="H84" s="9">
        <f t="shared" ca="1" si="5"/>
        <v>18095</v>
      </c>
    </row>
    <row r="85" spans="1:8" x14ac:dyDescent="0.3">
      <c r="A85" s="6">
        <v>84</v>
      </c>
      <c r="B85" t="str" cm="1">
        <f t="array" aca="1" ref="B85" ca="1">INDEX(ΛΙΣΤΕΣ!$A$2:$A$8, RANDBETWEEN(1, COUNTA(ΛΙΣΤΕΣ!$A$2:$A$8)))</f>
        <v>Υπηρεσία Β</v>
      </c>
      <c r="C85" t="str" cm="1">
        <f t="array" aca="1" ref="C85" ca="1">INDEX(ΛΙΣΤΕΣ!$B$2:$B$5, RANDBETWEEN(1, COUNTA(ΛΙΣΤΕΣ!$B$2:$B$5)))</f>
        <v>Ηρακλείου</v>
      </c>
      <c r="D85" t="str" cm="1">
        <f t="array" aca="1" ref="D85" ca="1">INDEX(ΛΙΣΤΕΣ!$C$2:$C$13, RANDBETWEEN(1, COUNTA(ΛΙΣΤΕΣ!$C$2:$C$13)))</f>
        <v>Νοέμβριος</v>
      </c>
      <c r="E85" s="6">
        <f t="shared" ca="1" si="6"/>
        <v>14</v>
      </c>
      <c r="F85" s="6">
        <f t="shared" ca="1" si="7"/>
        <v>68</v>
      </c>
      <c r="G85" s="10">
        <f t="shared" ca="1" si="4"/>
        <v>952</v>
      </c>
      <c r="H85" s="9">
        <f t="shared" ca="1" si="5"/>
        <v>952</v>
      </c>
    </row>
    <row r="86" spans="1:8" x14ac:dyDescent="0.3">
      <c r="A86" s="6">
        <v>85</v>
      </c>
      <c r="B86" t="str" cm="1">
        <f t="array" aca="1" ref="B86" ca="1">INDEX(ΛΙΣΤΕΣ!$A$2:$A$8, RANDBETWEEN(1, COUNTA(ΛΙΣΤΕΣ!$A$2:$A$8)))</f>
        <v>Προϊον Β</v>
      </c>
      <c r="C86" t="str" cm="1">
        <f t="array" aca="1" ref="C86" ca="1">INDEX(ΛΙΣΤΕΣ!$B$2:$B$5, RANDBETWEEN(1, COUNTA(ΛΙΣΤΕΣ!$B$2:$B$5)))</f>
        <v>Ρεθύμνου</v>
      </c>
      <c r="D86" t="str" cm="1">
        <f t="array" aca="1" ref="D86" ca="1">INDEX(ΛΙΣΤΕΣ!$C$2:$C$13, RANDBETWEEN(1, COUNTA(ΛΙΣΤΕΣ!$C$2:$C$13)))</f>
        <v>Ιούνιος</v>
      </c>
      <c r="E86" s="6">
        <f t="shared" ca="1" si="6"/>
        <v>463</v>
      </c>
      <c r="F86" s="6">
        <f t="shared" ca="1" si="7"/>
        <v>100</v>
      </c>
      <c r="G86" s="10">
        <f t="shared" ca="1" si="4"/>
        <v>46300</v>
      </c>
      <c r="H86" s="9">
        <f t="shared" ca="1" si="5"/>
        <v>53244.999999999993</v>
      </c>
    </row>
    <row r="87" spans="1:8" x14ac:dyDescent="0.3">
      <c r="A87" s="6">
        <v>86</v>
      </c>
      <c r="B87" t="str" cm="1">
        <f t="array" aca="1" ref="B87" ca="1">INDEX(ΛΙΣΤΕΣ!$A$2:$A$8, RANDBETWEEN(1, COUNTA(ΛΙΣΤΕΣ!$A$2:$A$8)))</f>
        <v>Υπηρεσία Γ</v>
      </c>
      <c r="C87" t="str" cm="1">
        <f t="array" aca="1" ref="C87" ca="1">INDEX(ΛΙΣΤΕΣ!$B$2:$B$5, RANDBETWEEN(1, COUNTA(ΛΙΣΤΕΣ!$B$2:$B$5)))</f>
        <v>Ρεθύμνου</v>
      </c>
      <c r="D87" t="str" cm="1">
        <f t="array" aca="1" ref="D87" ca="1">INDEX(ΛΙΣΤΕΣ!$C$2:$C$13, RANDBETWEEN(1, COUNTA(ΛΙΣΤΕΣ!$C$2:$C$13)))</f>
        <v>Δεκέμβριος</v>
      </c>
      <c r="E87" s="6">
        <f t="shared" ca="1" si="6"/>
        <v>455</v>
      </c>
      <c r="F87" s="6">
        <f t="shared" ca="1" si="7"/>
        <v>147</v>
      </c>
      <c r="G87" s="10">
        <f t="shared" ca="1" si="4"/>
        <v>66885</v>
      </c>
      <c r="H87" s="9">
        <f t="shared" ca="1" si="5"/>
        <v>76917.75</v>
      </c>
    </row>
    <row r="88" spans="1:8" x14ac:dyDescent="0.3">
      <c r="A88" s="6">
        <v>87</v>
      </c>
      <c r="B88" t="str" cm="1">
        <f t="array" aca="1" ref="B88" ca="1">INDEX(ΛΙΣΤΕΣ!$A$2:$A$8, RANDBETWEEN(1, COUNTA(ΛΙΣΤΕΣ!$A$2:$A$8)))</f>
        <v>Υπηρεσία Γ</v>
      </c>
      <c r="C88" t="str" cm="1">
        <f t="array" aca="1" ref="C88" ca="1">INDEX(ΛΙΣΤΕΣ!$B$2:$B$5, RANDBETWEEN(1, COUNTA(ΛΙΣΤΕΣ!$B$2:$B$5)))</f>
        <v>Λασιθίου</v>
      </c>
      <c r="D88" t="str" cm="1">
        <f t="array" aca="1" ref="D88" ca="1">INDEX(ΛΙΣΤΕΣ!$C$2:$C$13, RANDBETWEEN(1, COUNTA(ΛΙΣΤΕΣ!$C$2:$C$13)))</f>
        <v>Οκτώβριος</v>
      </c>
      <c r="E88" s="6">
        <f t="shared" ca="1" si="6"/>
        <v>428</v>
      </c>
      <c r="F88" s="6">
        <f t="shared" ca="1" si="7"/>
        <v>8</v>
      </c>
      <c r="G88" s="10">
        <f t="shared" ca="1" si="4"/>
        <v>3424</v>
      </c>
      <c r="H88" s="9">
        <f t="shared" ca="1" si="5"/>
        <v>3424</v>
      </c>
    </row>
    <row r="89" spans="1:8" x14ac:dyDescent="0.3">
      <c r="A89" s="6">
        <v>88</v>
      </c>
      <c r="B89" t="str" cm="1">
        <f t="array" aca="1" ref="B89" ca="1">INDEX(ΛΙΣΤΕΣ!$A$2:$A$8, RANDBETWEEN(1, COUNTA(ΛΙΣΤΕΣ!$A$2:$A$8)))</f>
        <v>Προϊον Γ</v>
      </c>
      <c r="C89" t="str" cm="1">
        <f t="array" aca="1" ref="C89" ca="1">INDEX(ΛΙΣΤΕΣ!$B$2:$B$5, RANDBETWEEN(1, COUNTA(ΛΙΣΤΕΣ!$B$2:$B$5)))</f>
        <v>Ρεθύμνου</v>
      </c>
      <c r="D89" t="str" cm="1">
        <f t="array" aca="1" ref="D89" ca="1">INDEX(ΛΙΣΤΕΣ!$C$2:$C$13, RANDBETWEEN(1, COUNTA(ΛΙΣΤΕΣ!$C$2:$C$13)))</f>
        <v>Φεβρουάριος</v>
      </c>
      <c r="E89" s="6">
        <f t="shared" ca="1" si="6"/>
        <v>410</v>
      </c>
      <c r="F89" s="6">
        <f t="shared" ca="1" si="7"/>
        <v>21</v>
      </c>
      <c r="G89" s="10">
        <f t="shared" ca="1" si="4"/>
        <v>8610</v>
      </c>
      <c r="H89" s="9">
        <f t="shared" ca="1" si="5"/>
        <v>8610</v>
      </c>
    </row>
    <row r="90" spans="1:8" x14ac:dyDescent="0.3">
      <c r="A90" s="6">
        <v>89</v>
      </c>
      <c r="B90" t="str" cm="1">
        <f t="array" aca="1" ref="B90" ca="1">INDEX(ΛΙΣΤΕΣ!$A$2:$A$8, RANDBETWEEN(1, COUNTA(ΛΙΣΤΕΣ!$A$2:$A$8)))</f>
        <v>Προϊον Α</v>
      </c>
      <c r="C90" t="str" cm="1">
        <f t="array" aca="1" ref="C90" ca="1">INDEX(ΛΙΣΤΕΣ!$B$2:$B$5, RANDBETWEEN(1, COUNTA(ΛΙΣΤΕΣ!$B$2:$B$5)))</f>
        <v>Ηρακλείου</v>
      </c>
      <c r="D90" t="str" cm="1">
        <f t="array" aca="1" ref="D90" ca="1">INDEX(ΛΙΣΤΕΣ!$C$2:$C$13, RANDBETWEEN(1, COUNTA(ΛΙΣΤΕΣ!$C$2:$C$13)))</f>
        <v>Ιανουάριος</v>
      </c>
      <c r="E90" s="6">
        <f t="shared" ca="1" si="6"/>
        <v>316</v>
      </c>
      <c r="F90" s="6">
        <f t="shared" ca="1" si="7"/>
        <v>14</v>
      </c>
      <c r="G90" s="10">
        <f t="shared" ca="1" si="4"/>
        <v>4424</v>
      </c>
      <c r="H90" s="9">
        <f t="shared" ca="1" si="5"/>
        <v>5087.5999999999995</v>
      </c>
    </row>
    <row r="91" spans="1:8" x14ac:dyDescent="0.3">
      <c r="A91" s="6">
        <v>90</v>
      </c>
      <c r="B91" t="str" cm="1">
        <f t="array" aca="1" ref="B91" ca="1">INDEX(ΛΙΣΤΕΣ!$A$2:$A$8, RANDBETWEEN(1, COUNTA(ΛΙΣΤΕΣ!$A$2:$A$8)))</f>
        <v>Προϊον Γ</v>
      </c>
      <c r="C91" t="str" cm="1">
        <f t="array" aca="1" ref="C91" ca="1">INDEX(ΛΙΣΤΕΣ!$B$2:$B$5, RANDBETWEEN(1, COUNTA(ΛΙΣΤΕΣ!$B$2:$B$5)))</f>
        <v>Ηρακλείου</v>
      </c>
      <c r="D91" t="str" cm="1">
        <f t="array" aca="1" ref="D91" ca="1">INDEX(ΛΙΣΤΕΣ!$C$2:$C$13, RANDBETWEEN(1, COUNTA(ΛΙΣΤΕΣ!$C$2:$C$13)))</f>
        <v>Απρίλιος</v>
      </c>
      <c r="E91" s="6">
        <f t="shared" ca="1" si="6"/>
        <v>414</v>
      </c>
      <c r="F91" s="6">
        <f t="shared" ca="1" si="7"/>
        <v>101</v>
      </c>
      <c r="G91" s="10">
        <f t="shared" ca="1" si="4"/>
        <v>41814</v>
      </c>
      <c r="H91" s="9">
        <f t="shared" ca="1" si="5"/>
        <v>41814</v>
      </c>
    </row>
    <row r="92" spans="1:8" x14ac:dyDescent="0.3">
      <c r="A92" s="6">
        <v>91</v>
      </c>
      <c r="B92" t="str" cm="1">
        <f t="array" aca="1" ref="B92" ca="1">INDEX(ΛΙΣΤΕΣ!$A$2:$A$8, RANDBETWEEN(1, COUNTA(ΛΙΣΤΕΣ!$A$2:$A$8)))</f>
        <v>Προϊον Β</v>
      </c>
      <c r="C92" t="str" cm="1">
        <f t="array" aca="1" ref="C92" ca="1">INDEX(ΛΙΣΤΕΣ!$B$2:$B$5, RANDBETWEEN(1, COUNTA(ΛΙΣΤΕΣ!$B$2:$B$5)))</f>
        <v>Χανίων</v>
      </c>
      <c r="D92" t="str" cm="1">
        <f t="array" aca="1" ref="D92" ca="1">INDEX(ΛΙΣΤΕΣ!$C$2:$C$13, RANDBETWEEN(1, COUNTA(ΛΙΣΤΕΣ!$C$2:$C$13)))</f>
        <v>Ιούλιος</v>
      </c>
      <c r="E92" s="6">
        <f t="shared" ca="1" si="6"/>
        <v>10</v>
      </c>
      <c r="F92" s="6">
        <f t="shared" ca="1" si="7"/>
        <v>110</v>
      </c>
      <c r="G92" s="10">
        <f t="shared" ca="1" si="4"/>
        <v>1100</v>
      </c>
      <c r="H92" s="9">
        <f t="shared" ca="1" si="5"/>
        <v>1265</v>
      </c>
    </row>
    <row r="93" spans="1:8" x14ac:dyDescent="0.3">
      <c r="A93" s="6">
        <v>92</v>
      </c>
      <c r="B93" t="str" cm="1">
        <f t="array" aca="1" ref="B93" ca="1">INDEX(ΛΙΣΤΕΣ!$A$2:$A$8, RANDBETWEEN(1, COUNTA(ΛΙΣΤΕΣ!$A$2:$A$8)))</f>
        <v>Υπηρεσία Γ</v>
      </c>
      <c r="C93" t="str" cm="1">
        <f t="array" aca="1" ref="C93" ca="1">INDEX(ΛΙΣΤΕΣ!$B$2:$B$5, RANDBETWEEN(1, COUNTA(ΛΙΣΤΕΣ!$B$2:$B$5)))</f>
        <v>Χανίων</v>
      </c>
      <c r="D93" t="str" cm="1">
        <f t="array" aca="1" ref="D93" ca="1">INDEX(ΛΙΣΤΕΣ!$C$2:$C$13, RANDBETWEEN(1, COUNTA(ΛΙΣΤΕΣ!$C$2:$C$13)))</f>
        <v>Αύγουστος</v>
      </c>
      <c r="E93" s="6">
        <f t="shared" ca="1" si="6"/>
        <v>395</v>
      </c>
      <c r="F93" s="6">
        <f t="shared" ca="1" si="7"/>
        <v>23</v>
      </c>
      <c r="G93" s="10">
        <f t="shared" ca="1" si="4"/>
        <v>9085</v>
      </c>
      <c r="H93" s="9">
        <f t="shared" ca="1" si="5"/>
        <v>10447.75</v>
      </c>
    </row>
    <row r="94" spans="1:8" x14ac:dyDescent="0.3">
      <c r="A94" s="6">
        <v>93</v>
      </c>
      <c r="B94" t="str" cm="1">
        <f t="array" aca="1" ref="B94" ca="1">INDEX(ΛΙΣΤΕΣ!$A$2:$A$8, RANDBETWEEN(1, COUNTA(ΛΙΣΤΕΣ!$A$2:$A$8)))</f>
        <v>Προϊον Α</v>
      </c>
      <c r="C94" t="str" cm="1">
        <f t="array" aca="1" ref="C94" ca="1">INDEX(ΛΙΣΤΕΣ!$B$2:$B$5, RANDBETWEEN(1, COUNTA(ΛΙΣΤΕΣ!$B$2:$B$5)))</f>
        <v>Ηρακλείου</v>
      </c>
      <c r="D94" t="str" cm="1">
        <f t="array" aca="1" ref="D94" ca="1">INDEX(ΛΙΣΤΕΣ!$C$2:$C$13, RANDBETWEEN(1, COUNTA(ΛΙΣΤΕΣ!$C$2:$C$13)))</f>
        <v>Ιούνιος</v>
      </c>
      <c r="E94" s="6">
        <f t="shared" ca="1" si="6"/>
        <v>192</v>
      </c>
      <c r="F94" s="6">
        <f t="shared" ca="1" si="7"/>
        <v>71</v>
      </c>
      <c r="G94" s="10">
        <f t="shared" ca="1" si="4"/>
        <v>13632</v>
      </c>
      <c r="H94" s="9">
        <f t="shared" ca="1" si="5"/>
        <v>13632</v>
      </c>
    </row>
    <row r="95" spans="1:8" x14ac:dyDescent="0.3">
      <c r="A95" s="6">
        <v>94</v>
      </c>
      <c r="B95" t="str" cm="1">
        <f t="array" aca="1" ref="B95" ca="1">INDEX(ΛΙΣΤΕΣ!$A$2:$A$8, RANDBETWEEN(1, COUNTA(ΛΙΣΤΕΣ!$A$2:$A$8)))</f>
        <v>Προϊον Β</v>
      </c>
      <c r="C95" t="str" cm="1">
        <f t="array" aca="1" ref="C95" ca="1">INDEX(ΛΙΣΤΕΣ!$B$2:$B$5, RANDBETWEEN(1, COUNTA(ΛΙΣΤΕΣ!$B$2:$B$5)))</f>
        <v>Ρεθύμνου</v>
      </c>
      <c r="D95" t="str" cm="1">
        <f t="array" aca="1" ref="D95" ca="1">INDEX(ΛΙΣΤΕΣ!$C$2:$C$13, RANDBETWEEN(1, COUNTA(ΛΙΣΤΕΣ!$C$2:$C$13)))</f>
        <v>Σεπτέμβριος</v>
      </c>
      <c r="E95" s="6">
        <f t="shared" ca="1" si="6"/>
        <v>252</v>
      </c>
      <c r="F95" s="6">
        <f t="shared" ca="1" si="7"/>
        <v>73</v>
      </c>
      <c r="G95" s="10">
        <f t="shared" ca="1" si="4"/>
        <v>18396</v>
      </c>
      <c r="H95" s="9">
        <f t="shared" ca="1" si="5"/>
        <v>21155.399999999998</v>
      </c>
    </row>
    <row r="96" spans="1:8" x14ac:dyDescent="0.3">
      <c r="A96" s="6">
        <v>95</v>
      </c>
      <c r="B96" t="str" cm="1">
        <f t="array" aca="1" ref="B96" ca="1">INDEX(ΛΙΣΤΕΣ!$A$2:$A$8, RANDBETWEEN(1, COUNTA(ΛΙΣΤΕΣ!$A$2:$A$8)))</f>
        <v>Υπηρεσία Β</v>
      </c>
      <c r="C96" t="str" cm="1">
        <f t="array" aca="1" ref="C96" ca="1">INDEX(ΛΙΣΤΕΣ!$B$2:$B$5, RANDBETWEEN(1, COUNTA(ΛΙΣΤΕΣ!$B$2:$B$5)))</f>
        <v>Ρεθύμνου</v>
      </c>
      <c r="D96" t="str" cm="1">
        <f t="array" aca="1" ref="D96" ca="1">INDEX(ΛΙΣΤΕΣ!$C$2:$C$13, RANDBETWEEN(1, COUNTA(ΛΙΣΤΕΣ!$C$2:$C$13)))</f>
        <v>Απρίλιος</v>
      </c>
      <c r="E96" s="6">
        <f t="shared" ca="1" si="6"/>
        <v>349</v>
      </c>
      <c r="F96" s="6">
        <f t="shared" ca="1" si="7"/>
        <v>114</v>
      </c>
      <c r="G96" s="10">
        <f t="shared" ca="1" si="4"/>
        <v>39786</v>
      </c>
      <c r="H96" s="9">
        <f t="shared" ca="1" si="5"/>
        <v>45753.899999999994</v>
      </c>
    </row>
    <row r="97" spans="1:8" x14ac:dyDescent="0.3">
      <c r="A97" s="6">
        <v>96</v>
      </c>
      <c r="B97" t="str" cm="1">
        <f t="array" aca="1" ref="B97" ca="1">INDEX(ΛΙΣΤΕΣ!$A$2:$A$8, RANDBETWEEN(1, COUNTA(ΛΙΣΤΕΣ!$A$2:$A$8)))</f>
        <v>Προϊον Α</v>
      </c>
      <c r="C97" t="str" cm="1">
        <f t="array" aca="1" ref="C97" ca="1">INDEX(ΛΙΣΤΕΣ!$B$2:$B$5, RANDBETWEEN(1, COUNTA(ΛΙΣΤΕΣ!$B$2:$B$5)))</f>
        <v>Ρεθύμνου</v>
      </c>
      <c r="D97" t="str" cm="1">
        <f t="array" aca="1" ref="D97" ca="1">INDEX(ΛΙΣΤΕΣ!$C$2:$C$13, RANDBETWEEN(1, COUNTA(ΛΙΣΤΕΣ!$C$2:$C$13)))</f>
        <v>Απρίλιος</v>
      </c>
      <c r="E97" s="6">
        <f t="shared" ca="1" si="6"/>
        <v>200</v>
      </c>
      <c r="F97" s="6">
        <f t="shared" ca="1" si="7"/>
        <v>145</v>
      </c>
      <c r="G97" s="10">
        <f t="shared" ca="1" si="4"/>
        <v>29000</v>
      </c>
      <c r="H97" s="9">
        <f t="shared" ca="1" si="5"/>
        <v>33350</v>
      </c>
    </row>
    <row r="98" spans="1:8" x14ac:dyDescent="0.3">
      <c r="A98" s="6">
        <v>97</v>
      </c>
      <c r="B98" t="str" cm="1">
        <f t="array" aca="1" ref="B98" ca="1">INDEX(ΛΙΣΤΕΣ!$A$2:$A$8, RANDBETWEEN(1, COUNTA(ΛΙΣΤΕΣ!$A$2:$A$8)))</f>
        <v>Υπηρεσία Β</v>
      </c>
      <c r="C98" t="str" cm="1">
        <f t="array" aca="1" ref="C98" ca="1">INDEX(ΛΙΣΤΕΣ!$B$2:$B$5, RANDBETWEEN(1, COUNTA(ΛΙΣΤΕΣ!$B$2:$B$5)))</f>
        <v>Ρεθύμνου</v>
      </c>
      <c r="D98" t="str" cm="1">
        <f t="array" aca="1" ref="D98" ca="1">INDEX(ΛΙΣΤΕΣ!$C$2:$C$13, RANDBETWEEN(1, COUNTA(ΛΙΣΤΕΣ!$C$2:$C$13)))</f>
        <v>Ιούνιος</v>
      </c>
      <c r="E98" s="6">
        <f t="shared" ca="1" si="6"/>
        <v>157</v>
      </c>
      <c r="F98" s="6">
        <f t="shared" ca="1" si="7"/>
        <v>41</v>
      </c>
      <c r="G98" s="10">
        <f t="shared" ca="1" si="4"/>
        <v>6437</v>
      </c>
      <c r="H98" s="9">
        <f t="shared" ca="1" si="5"/>
        <v>7402.5499999999993</v>
      </c>
    </row>
    <row r="99" spans="1:8" x14ac:dyDescent="0.3">
      <c r="A99" s="6">
        <v>98</v>
      </c>
      <c r="B99" t="str" cm="1">
        <f t="array" aca="1" ref="B99" ca="1">INDEX(ΛΙΣΤΕΣ!$A$2:$A$8, RANDBETWEEN(1, COUNTA(ΛΙΣΤΕΣ!$A$2:$A$8)))</f>
        <v>Προϊον Α</v>
      </c>
      <c r="C99" t="str" cm="1">
        <f t="array" aca="1" ref="C99" ca="1">INDEX(ΛΙΣΤΕΣ!$B$2:$B$5, RANDBETWEEN(1, COUNTA(ΛΙΣΤΕΣ!$B$2:$B$5)))</f>
        <v>Λασιθίου</v>
      </c>
      <c r="D99" t="str" cm="1">
        <f t="array" aca="1" ref="D99" ca="1">INDEX(ΛΙΣΤΕΣ!$C$2:$C$13, RANDBETWEEN(1, COUNTA(ΛΙΣΤΕΣ!$C$2:$C$13)))</f>
        <v>Αύγουστος</v>
      </c>
      <c r="E99" s="6">
        <f t="shared" ca="1" si="6"/>
        <v>483</v>
      </c>
      <c r="F99" s="6">
        <f t="shared" ca="1" si="7"/>
        <v>99</v>
      </c>
      <c r="G99" s="10">
        <f t="shared" ca="1" si="4"/>
        <v>47817</v>
      </c>
      <c r="H99" s="9">
        <f t="shared" ca="1" si="5"/>
        <v>54989.549999999996</v>
      </c>
    </row>
    <row r="100" spans="1:8" x14ac:dyDescent="0.3">
      <c r="A100" s="6">
        <v>99</v>
      </c>
      <c r="B100" t="str" cm="1">
        <f t="array" aca="1" ref="B100" ca="1">INDEX(ΛΙΣΤΕΣ!$A$2:$A$8, RANDBETWEEN(1, COUNTA(ΛΙΣΤΕΣ!$A$2:$A$8)))</f>
        <v>Προϊον Α</v>
      </c>
      <c r="C100" t="str" cm="1">
        <f t="array" aca="1" ref="C100" ca="1">INDEX(ΛΙΣΤΕΣ!$B$2:$B$5, RANDBETWEEN(1, COUNTA(ΛΙΣΤΕΣ!$B$2:$B$5)))</f>
        <v>Ρεθύμνου</v>
      </c>
      <c r="D100" t="str" cm="1">
        <f t="array" aca="1" ref="D100" ca="1">INDEX(ΛΙΣΤΕΣ!$C$2:$C$13, RANDBETWEEN(1, COUNTA(ΛΙΣΤΕΣ!$C$2:$C$13)))</f>
        <v>Δεκέμβριος</v>
      </c>
      <c r="E100" s="6">
        <f t="shared" ca="1" si="6"/>
        <v>468</v>
      </c>
      <c r="F100" s="6">
        <f t="shared" ca="1" si="7"/>
        <v>61</v>
      </c>
      <c r="G100" s="10">
        <f t="shared" ca="1" si="4"/>
        <v>28548</v>
      </c>
      <c r="H100" s="9">
        <f t="shared" ca="1" si="5"/>
        <v>32830.199999999997</v>
      </c>
    </row>
    <row r="101" spans="1:8" x14ac:dyDescent="0.3">
      <c r="A101" s="6">
        <v>100</v>
      </c>
      <c r="B101" t="str" cm="1">
        <f t="array" aca="1" ref="B101" ca="1">INDEX(ΛΙΣΤΕΣ!$A$2:$A$8, RANDBETWEEN(1, COUNTA(ΛΙΣΤΕΣ!$A$2:$A$8)))</f>
        <v>Υπηρεσία Α</v>
      </c>
      <c r="C101" t="str" cm="1">
        <f t="array" aca="1" ref="C101" ca="1">INDEX(ΛΙΣΤΕΣ!$B$2:$B$5, RANDBETWEEN(1, COUNTA(ΛΙΣΤΕΣ!$B$2:$B$5)))</f>
        <v>Λασιθίου</v>
      </c>
      <c r="D101" t="str" cm="1">
        <f t="array" aca="1" ref="D101" ca="1">INDEX(ΛΙΣΤΕΣ!$C$2:$C$13, RANDBETWEEN(1, COUNTA(ΛΙΣΤΕΣ!$C$2:$C$13)))</f>
        <v>Φεβρουάριος</v>
      </c>
      <c r="E101" s="6">
        <f t="shared" ca="1" si="6"/>
        <v>62</v>
      </c>
      <c r="F101" s="6">
        <f t="shared" ca="1" si="7"/>
        <v>106</v>
      </c>
      <c r="G101" s="10">
        <f t="shared" ca="1" si="4"/>
        <v>6572</v>
      </c>
      <c r="H101" s="9">
        <f t="shared" ca="1" si="5"/>
        <v>7557.7999999999993</v>
      </c>
    </row>
    <row r="102" spans="1:8" x14ac:dyDescent="0.3">
      <c r="A102" s="6">
        <v>101</v>
      </c>
      <c r="B102" t="str" cm="1">
        <f t="array" aca="1" ref="B102" ca="1">INDEX(ΛΙΣΤΕΣ!$A$2:$A$8, RANDBETWEEN(1, COUNTA(ΛΙΣΤΕΣ!$A$2:$A$8)))</f>
        <v>Προϊον Α</v>
      </c>
      <c r="C102" t="str" cm="1">
        <f t="array" aca="1" ref="C102" ca="1">INDEX(ΛΙΣΤΕΣ!$B$2:$B$5, RANDBETWEEN(1, COUNTA(ΛΙΣΤΕΣ!$B$2:$B$5)))</f>
        <v>Ρεθύμνου</v>
      </c>
      <c r="D102" t="str" cm="1">
        <f t="array" aca="1" ref="D102" ca="1">INDEX(ΛΙΣΤΕΣ!$C$2:$C$13, RANDBETWEEN(1, COUNTA(ΛΙΣΤΕΣ!$C$2:$C$13)))</f>
        <v>Σεπτέμβριος</v>
      </c>
      <c r="E102" s="6">
        <f t="shared" ca="1" si="6"/>
        <v>483</v>
      </c>
      <c r="F102" s="6">
        <f t="shared" ca="1" si="7"/>
        <v>33</v>
      </c>
      <c r="G102" s="10">
        <f t="shared" ca="1" si="4"/>
        <v>15939</v>
      </c>
      <c r="H102" s="9">
        <f t="shared" ca="1" si="5"/>
        <v>15939</v>
      </c>
    </row>
    <row r="103" spans="1:8" x14ac:dyDescent="0.3">
      <c r="A103" s="6">
        <v>102</v>
      </c>
      <c r="B103" t="str" cm="1">
        <f t="array" aca="1" ref="B103" ca="1">INDEX(ΛΙΣΤΕΣ!$A$2:$A$8, RANDBETWEEN(1, COUNTA(ΛΙΣΤΕΣ!$A$2:$A$8)))</f>
        <v>Υπηρεσία Β</v>
      </c>
      <c r="C103" t="str" cm="1">
        <f t="array" aca="1" ref="C103" ca="1">INDEX(ΛΙΣΤΕΣ!$B$2:$B$5, RANDBETWEEN(1, COUNTA(ΛΙΣΤΕΣ!$B$2:$B$5)))</f>
        <v>Ρεθύμνου</v>
      </c>
      <c r="D103" t="str" cm="1">
        <f t="array" aca="1" ref="D103" ca="1">INDEX(ΛΙΣΤΕΣ!$C$2:$C$13, RANDBETWEEN(1, COUNTA(ΛΙΣΤΕΣ!$C$2:$C$13)))</f>
        <v>Νοέμβριος</v>
      </c>
      <c r="E103" s="6">
        <f t="shared" ca="1" si="6"/>
        <v>274</v>
      </c>
      <c r="F103" s="6">
        <f t="shared" ca="1" si="7"/>
        <v>98</v>
      </c>
      <c r="G103" s="10">
        <f t="shared" ca="1" si="4"/>
        <v>26852</v>
      </c>
      <c r="H103" s="9">
        <f t="shared" ca="1" si="5"/>
        <v>26852</v>
      </c>
    </row>
    <row r="104" spans="1:8" x14ac:dyDescent="0.3">
      <c r="A104" s="6">
        <v>103</v>
      </c>
      <c r="B104" t="str" cm="1">
        <f t="array" aca="1" ref="B104" ca="1">INDEX(ΛΙΣΤΕΣ!$A$2:$A$8, RANDBETWEEN(1, COUNTA(ΛΙΣΤΕΣ!$A$2:$A$8)))</f>
        <v>Προϊον Δ</v>
      </c>
      <c r="C104" t="str" cm="1">
        <f t="array" aca="1" ref="C104" ca="1">INDEX(ΛΙΣΤΕΣ!$B$2:$B$5, RANDBETWEEN(1, COUNTA(ΛΙΣΤΕΣ!$B$2:$B$5)))</f>
        <v>Ηρακλείου</v>
      </c>
      <c r="D104" t="str" cm="1">
        <f t="array" aca="1" ref="D104" ca="1">INDEX(ΛΙΣΤΕΣ!$C$2:$C$13, RANDBETWEEN(1, COUNTA(ΛΙΣΤΕΣ!$C$2:$C$13)))</f>
        <v>Ιανουάριος</v>
      </c>
      <c r="E104" s="6">
        <f t="shared" ca="1" si="6"/>
        <v>264</v>
      </c>
      <c r="F104" s="6">
        <f t="shared" ca="1" si="7"/>
        <v>20</v>
      </c>
      <c r="G104" s="10">
        <f t="shared" ca="1" si="4"/>
        <v>5280</v>
      </c>
      <c r="H104" s="9">
        <f t="shared" ca="1" si="5"/>
        <v>5280</v>
      </c>
    </row>
    <row r="105" spans="1:8" x14ac:dyDescent="0.3">
      <c r="A105" s="6">
        <v>104</v>
      </c>
      <c r="B105" t="str" cm="1">
        <f t="array" aca="1" ref="B105" ca="1">INDEX(ΛΙΣΤΕΣ!$A$2:$A$8, RANDBETWEEN(1, COUNTA(ΛΙΣΤΕΣ!$A$2:$A$8)))</f>
        <v>Προϊον Δ</v>
      </c>
      <c r="C105" t="str" cm="1">
        <f t="array" aca="1" ref="C105" ca="1">INDEX(ΛΙΣΤΕΣ!$B$2:$B$5, RANDBETWEEN(1, COUNTA(ΛΙΣΤΕΣ!$B$2:$B$5)))</f>
        <v>Ηρακλείου</v>
      </c>
      <c r="D105" t="str" cm="1">
        <f t="array" aca="1" ref="D105" ca="1">INDEX(ΛΙΣΤΕΣ!$C$2:$C$13, RANDBETWEEN(1, COUNTA(ΛΙΣΤΕΣ!$C$2:$C$13)))</f>
        <v>Ιανουάριος</v>
      </c>
      <c r="E105" s="6">
        <f t="shared" ca="1" si="6"/>
        <v>54</v>
      </c>
      <c r="F105" s="6">
        <f t="shared" ca="1" si="7"/>
        <v>54</v>
      </c>
      <c r="G105" s="10">
        <f t="shared" ca="1" si="4"/>
        <v>2916</v>
      </c>
      <c r="H105" s="9">
        <f t="shared" ca="1" si="5"/>
        <v>3353.3999999999996</v>
      </c>
    </row>
    <row r="106" spans="1:8" x14ac:dyDescent="0.3">
      <c r="A106" s="6">
        <v>105</v>
      </c>
      <c r="B106" t="str" cm="1">
        <f t="array" aca="1" ref="B106" ca="1">INDEX(ΛΙΣΤΕΣ!$A$2:$A$8, RANDBETWEEN(1, COUNTA(ΛΙΣΤΕΣ!$A$2:$A$8)))</f>
        <v>Προϊον Β</v>
      </c>
      <c r="C106" t="str" cm="1">
        <f t="array" aca="1" ref="C106" ca="1">INDEX(ΛΙΣΤΕΣ!$B$2:$B$5, RANDBETWEEN(1, COUNTA(ΛΙΣΤΕΣ!$B$2:$B$5)))</f>
        <v>Χανίων</v>
      </c>
      <c r="D106" t="str" cm="1">
        <f t="array" aca="1" ref="D106" ca="1">INDEX(ΛΙΣΤΕΣ!$C$2:$C$13, RANDBETWEEN(1, COUNTA(ΛΙΣΤΕΣ!$C$2:$C$13)))</f>
        <v>Σεπτέμβριος</v>
      </c>
      <c r="E106" s="6">
        <f t="shared" ca="1" si="6"/>
        <v>387</v>
      </c>
      <c r="F106" s="6">
        <f t="shared" ca="1" si="7"/>
        <v>114</v>
      </c>
      <c r="G106" s="10">
        <f t="shared" ca="1" si="4"/>
        <v>44118</v>
      </c>
      <c r="H106" s="9">
        <f t="shared" ca="1" si="5"/>
        <v>44118</v>
      </c>
    </row>
    <row r="107" spans="1:8" x14ac:dyDescent="0.3">
      <c r="A107" s="6">
        <v>106</v>
      </c>
      <c r="B107" t="str" cm="1">
        <f t="array" aca="1" ref="B107" ca="1">INDEX(ΛΙΣΤΕΣ!$A$2:$A$8, RANDBETWEEN(1, COUNTA(ΛΙΣΤΕΣ!$A$2:$A$8)))</f>
        <v>Προϊον Α</v>
      </c>
      <c r="C107" t="str" cm="1">
        <f t="array" aca="1" ref="C107" ca="1">INDEX(ΛΙΣΤΕΣ!$B$2:$B$5, RANDBETWEEN(1, COUNTA(ΛΙΣΤΕΣ!$B$2:$B$5)))</f>
        <v>Ρεθύμνου</v>
      </c>
      <c r="D107" t="str" cm="1">
        <f t="array" aca="1" ref="D107" ca="1">INDEX(ΛΙΣΤΕΣ!$C$2:$C$13, RANDBETWEEN(1, COUNTA(ΛΙΣΤΕΣ!$C$2:$C$13)))</f>
        <v>Δεκέμβριος</v>
      </c>
      <c r="E107" s="6">
        <f t="shared" ca="1" si="6"/>
        <v>216</v>
      </c>
      <c r="F107" s="6">
        <f t="shared" ca="1" si="7"/>
        <v>81</v>
      </c>
      <c r="G107" s="10">
        <f t="shared" ca="1" si="4"/>
        <v>17496</v>
      </c>
      <c r="H107" s="9">
        <f t="shared" ca="1" si="5"/>
        <v>20120.399999999998</v>
      </c>
    </row>
    <row r="108" spans="1:8" x14ac:dyDescent="0.3">
      <c r="A108" s="6">
        <v>107</v>
      </c>
      <c r="B108" t="str" cm="1">
        <f t="array" aca="1" ref="B108" ca="1">INDEX(ΛΙΣΤΕΣ!$A$2:$A$8, RANDBETWEEN(1, COUNTA(ΛΙΣΤΕΣ!$A$2:$A$8)))</f>
        <v>Προϊον Γ</v>
      </c>
      <c r="C108" t="str" cm="1">
        <f t="array" aca="1" ref="C108" ca="1">INDEX(ΛΙΣΤΕΣ!$B$2:$B$5, RANDBETWEEN(1, COUNTA(ΛΙΣΤΕΣ!$B$2:$B$5)))</f>
        <v>Χανίων</v>
      </c>
      <c r="D108" t="str" cm="1">
        <f t="array" aca="1" ref="D108" ca="1">INDEX(ΛΙΣΤΕΣ!$C$2:$C$13, RANDBETWEEN(1, COUNTA(ΛΙΣΤΕΣ!$C$2:$C$13)))</f>
        <v>Νοέμβριος</v>
      </c>
      <c r="E108" s="6">
        <f t="shared" ca="1" si="6"/>
        <v>207</v>
      </c>
      <c r="F108" s="6">
        <f t="shared" ca="1" si="7"/>
        <v>108</v>
      </c>
      <c r="G108" s="10">
        <f t="shared" ca="1" si="4"/>
        <v>22356</v>
      </c>
      <c r="H108" s="9">
        <f t="shared" ca="1" si="5"/>
        <v>22356</v>
      </c>
    </row>
    <row r="109" spans="1:8" x14ac:dyDescent="0.3">
      <c r="A109" s="6">
        <v>108</v>
      </c>
      <c r="B109" t="str" cm="1">
        <f t="array" aca="1" ref="B109" ca="1">INDEX(ΛΙΣΤΕΣ!$A$2:$A$8, RANDBETWEEN(1, COUNTA(ΛΙΣΤΕΣ!$A$2:$A$8)))</f>
        <v>Υπηρεσία Α</v>
      </c>
      <c r="C109" t="str" cm="1">
        <f t="array" aca="1" ref="C109" ca="1">INDEX(ΛΙΣΤΕΣ!$B$2:$B$5, RANDBETWEEN(1, COUNTA(ΛΙΣΤΕΣ!$B$2:$B$5)))</f>
        <v>Χανίων</v>
      </c>
      <c r="D109" t="str" cm="1">
        <f t="array" aca="1" ref="D109" ca="1">INDEX(ΛΙΣΤΕΣ!$C$2:$C$13, RANDBETWEEN(1, COUNTA(ΛΙΣΤΕΣ!$C$2:$C$13)))</f>
        <v>Φεβρουάριος</v>
      </c>
      <c r="E109" s="6">
        <f t="shared" ca="1" si="6"/>
        <v>323</v>
      </c>
      <c r="F109" s="6">
        <f t="shared" ca="1" si="7"/>
        <v>91</v>
      </c>
      <c r="G109" s="10">
        <f t="shared" ca="1" si="4"/>
        <v>29393</v>
      </c>
      <c r="H109" s="9">
        <f t="shared" ca="1" si="5"/>
        <v>29393</v>
      </c>
    </row>
    <row r="110" spans="1:8" x14ac:dyDescent="0.3">
      <c r="A110" s="6">
        <v>109</v>
      </c>
      <c r="B110" t="str" cm="1">
        <f t="array" aca="1" ref="B110" ca="1">INDEX(ΛΙΣΤΕΣ!$A$2:$A$8, RANDBETWEEN(1, COUNTA(ΛΙΣΤΕΣ!$A$2:$A$8)))</f>
        <v>Προϊον Γ</v>
      </c>
      <c r="C110" t="str" cm="1">
        <f t="array" aca="1" ref="C110" ca="1">INDEX(ΛΙΣΤΕΣ!$B$2:$B$5, RANDBETWEEN(1, COUNTA(ΛΙΣΤΕΣ!$B$2:$B$5)))</f>
        <v>Χανίων</v>
      </c>
      <c r="D110" t="str" cm="1">
        <f t="array" aca="1" ref="D110" ca="1">INDEX(ΛΙΣΤΕΣ!$C$2:$C$13, RANDBETWEEN(1, COUNTA(ΛΙΣΤΕΣ!$C$2:$C$13)))</f>
        <v>Οκτώβριος</v>
      </c>
      <c r="E110" s="6">
        <f t="shared" ca="1" si="6"/>
        <v>256</v>
      </c>
      <c r="F110" s="6">
        <f t="shared" ca="1" si="7"/>
        <v>22</v>
      </c>
      <c r="G110" s="10">
        <f t="shared" ca="1" si="4"/>
        <v>5632</v>
      </c>
      <c r="H110" s="9">
        <f t="shared" ca="1" si="5"/>
        <v>5632</v>
      </c>
    </row>
    <row r="111" spans="1:8" x14ac:dyDescent="0.3">
      <c r="A111" s="6">
        <v>110</v>
      </c>
      <c r="B111" t="str" cm="1">
        <f t="array" aca="1" ref="B111" ca="1">INDEX(ΛΙΣΤΕΣ!$A$2:$A$8, RANDBETWEEN(1, COUNTA(ΛΙΣΤΕΣ!$A$2:$A$8)))</f>
        <v>Υπηρεσία Γ</v>
      </c>
      <c r="C111" t="str" cm="1">
        <f t="array" aca="1" ref="C111" ca="1">INDEX(ΛΙΣΤΕΣ!$B$2:$B$5, RANDBETWEEN(1, COUNTA(ΛΙΣΤΕΣ!$B$2:$B$5)))</f>
        <v>Λασιθίου</v>
      </c>
      <c r="D111" t="str" cm="1">
        <f t="array" aca="1" ref="D111" ca="1">INDEX(ΛΙΣΤΕΣ!$C$2:$C$13, RANDBETWEEN(1, COUNTA(ΛΙΣΤΕΣ!$C$2:$C$13)))</f>
        <v>Φεβρουάριος</v>
      </c>
      <c r="E111" s="6">
        <f t="shared" ca="1" si="6"/>
        <v>268</v>
      </c>
      <c r="F111" s="6">
        <f t="shared" ca="1" si="7"/>
        <v>82</v>
      </c>
      <c r="G111" s="10">
        <f t="shared" ca="1" si="4"/>
        <v>21976</v>
      </c>
      <c r="H111" s="9">
        <f t="shared" ca="1" si="5"/>
        <v>21976</v>
      </c>
    </row>
    <row r="112" spans="1:8" x14ac:dyDescent="0.3">
      <c r="A112" s="6">
        <v>111</v>
      </c>
      <c r="B112" t="str" cm="1">
        <f t="array" aca="1" ref="B112" ca="1">INDEX(ΛΙΣΤΕΣ!$A$2:$A$8, RANDBETWEEN(1, COUNTA(ΛΙΣΤΕΣ!$A$2:$A$8)))</f>
        <v>Υπηρεσία Α</v>
      </c>
      <c r="C112" t="str" cm="1">
        <f t="array" aca="1" ref="C112" ca="1">INDEX(ΛΙΣΤΕΣ!$B$2:$B$5, RANDBETWEEN(1, COUNTA(ΛΙΣΤΕΣ!$B$2:$B$5)))</f>
        <v>Λασιθίου</v>
      </c>
      <c r="D112" t="str" cm="1">
        <f t="array" aca="1" ref="D112" ca="1">INDEX(ΛΙΣΤΕΣ!$C$2:$C$13, RANDBETWEEN(1, COUNTA(ΛΙΣΤΕΣ!$C$2:$C$13)))</f>
        <v>Ιούνιος</v>
      </c>
      <c r="E112" s="6">
        <f t="shared" ca="1" si="6"/>
        <v>444</v>
      </c>
      <c r="F112" s="6">
        <f t="shared" ca="1" si="7"/>
        <v>101</v>
      </c>
      <c r="G112" s="10">
        <f t="shared" ca="1" si="4"/>
        <v>44844</v>
      </c>
      <c r="H112" s="9">
        <f t="shared" ca="1" si="5"/>
        <v>51570.6</v>
      </c>
    </row>
    <row r="113" spans="1:8" x14ac:dyDescent="0.3">
      <c r="A113" s="6">
        <v>112</v>
      </c>
      <c r="B113" t="str" cm="1">
        <f t="array" aca="1" ref="B113" ca="1">INDEX(ΛΙΣΤΕΣ!$A$2:$A$8, RANDBETWEEN(1, COUNTA(ΛΙΣΤΕΣ!$A$2:$A$8)))</f>
        <v>Υπηρεσία Β</v>
      </c>
      <c r="C113" t="str" cm="1">
        <f t="array" aca="1" ref="C113" ca="1">INDEX(ΛΙΣΤΕΣ!$B$2:$B$5, RANDBETWEEN(1, COUNTA(ΛΙΣΤΕΣ!$B$2:$B$5)))</f>
        <v>Ηρακλείου</v>
      </c>
      <c r="D113" t="str" cm="1">
        <f t="array" aca="1" ref="D113" ca="1">INDEX(ΛΙΣΤΕΣ!$C$2:$C$13, RANDBETWEEN(1, COUNTA(ΛΙΣΤΕΣ!$C$2:$C$13)))</f>
        <v>Φεβρουάριος</v>
      </c>
      <c r="E113" s="6">
        <f t="shared" ca="1" si="6"/>
        <v>328</v>
      </c>
      <c r="F113" s="6">
        <f t="shared" ca="1" si="7"/>
        <v>77</v>
      </c>
      <c r="G113" s="10">
        <f t="shared" ca="1" si="4"/>
        <v>25256</v>
      </c>
      <c r="H113" s="9">
        <f t="shared" ca="1" si="5"/>
        <v>25256</v>
      </c>
    </row>
    <row r="114" spans="1:8" x14ac:dyDescent="0.3">
      <c r="A114" s="6">
        <v>113</v>
      </c>
      <c r="B114" t="str" cm="1">
        <f t="array" aca="1" ref="B114" ca="1">INDEX(ΛΙΣΤΕΣ!$A$2:$A$8, RANDBETWEEN(1, COUNTA(ΛΙΣΤΕΣ!$A$2:$A$8)))</f>
        <v>Υπηρεσία Α</v>
      </c>
      <c r="C114" t="str" cm="1">
        <f t="array" aca="1" ref="C114" ca="1">INDEX(ΛΙΣΤΕΣ!$B$2:$B$5, RANDBETWEEN(1, COUNTA(ΛΙΣΤΕΣ!$B$2:$B$5)))</f>
        <v>Χανίων</v>
      </c>
      <c r="D114" t="str" cm="1">
        <f t="array" aca="1" ref="D114" ca="1">INDEX(ΛΙΣΤΕΣ!$C$2:$C$13, RANDBETWEEN(1, COUNTA(ΛΙΣΤΕΣ!$C$2:$C$13)))</f>
        <v>Ιούλιος</v>
      </c>
      <c r="E114" s="6">
        <f t="shared" ca="1" si="6"/>
        <v>369</v>
      </c>
      <c r="F114" s="6">
        <f t="shared" ca="1" si="7"/>
        <v>105</v>
      </c>
      <c r="G114" s="10">
        <f t="shared" ca="1" si="4"/>
        <v>38745</v>
      </c>
      <c r="H114" s="9">
        <f t="shared" ca="1" si="5"/>
        <v>44556.75</v>
      </c>
    </row>
    <row r="115" spans="1:8" x14ac:dyDescent="0.3">
      <c r="A115" s="6">
        <v>114</v>
      </c>
      <c r="B115" t="str" cm="1">
        <f t="array" aca="1" ref="B115" ca="1">INDEX(ΛΙΣΤΕΣ!$A$2:$A$8, RANDBETWEEN(1, COUNTA(ΛΙΣΤΕΣ!$A$2:$A$8)))</f>
        <v>Προϊον Β</v>
      </c>
      <c r="C115" t="str" cm="1">
        <f t="array" aca="1" ref="C115" ca="1">INDEX(ΛΙΣΤΕΣ!$B$2:$B$5, RANDBETWEEN(1, COUNTA(ΛΙΣΤΕΣ!$B$2:$B$5)))</f>
        <v>Λασιθίου</v>
      </c>
      <c r="D115" t="str" cm="1">
        <f t="array" aca="1" ref="D115" ca="1">INDEX(ΛΙΣΤΕΣ!$C$2:$C$13, RANDBETWEEN(1, COUNTA(ΛΙΣΤΕΣ!$C$2:$C$13)))</f>
        <v>Ιανουάριος</v>
      </c>
      <c r="E115" s="6">
        <f t="shared" ca="1" si="6"/>
        <v>500</v>
      </c>
      <c r="F115" s="6">
        <f t="shared" ca="1" si="7"/>
        <v>62</v>
      </c>
      <c r="G115" s="10">
        <f t="shared" ca="1" si="4"/>
        <v>31000</v>
      </c>
      <c r="H115" s="9">
        <f t="shared" ca="1" si="5"/>
        <v>31000</v>
      </c>
    </row>
    <row r="116" spans="1:8" x14ac:dyDescent="0.3">
      <c r="A116" s="6">
        <v>115</v>
      </c>
      <c r="B116" t="str" cm="1">
        <f t="array" aca="1" ref="B116" ca="1">INDEX(ΛΙΣΤΕΣ!$A$2:$A$8, RANDBETWEEN(1, COUNTA(ΛΙΣΤΕΣ!$A$2:$A$8)))</f>
        <v>Υπηρεσία Γ</v>
      </c>
      <c r="C116" t="str" cm="1">
        <f t="array" aca="1" ref="C116" ca="1">INDEX(ΛΙΣΤΕΣ!$B$2:$B$5, RANDBETWEEN(1, COUNTA(ΛΙΣΤΕΣ!$B$2:$B$5)))</f>
        <v>Ηρακλείου</v>
      </c>
      <c r="D116" t="str" cm="1">
        <f t="array" aca="1" ref="D116" ca="1">INDEX(ΛΙΣΤΕΣ!$C$2:$C$13, RANDBETWEEN(1, COUNTA(ΛΙΣΤΕΣ!$C$2:$C$13)))</f>
        <v>Σεπτέμβριος</v>
      </c>
      <c r="E116" s="6">
        <f t="shared" ca="1" si="6"/>
        <v>253</v>
      </c>
      <c r="F116" s="6">
        <f t="shared" ca="1" si="7"/>
        <v>80</v>
      </c>
      <c r="G116" s="10">
        <f t="shared" ca="1" si="4"/>
        <v>20240</v>
      </c>
      <c r="H116" s="9">
        <f t="shared" ca="1" si="5"/>
        <v>23276</v>
      </c>
    </row>
    <row r="117" spans="1:8" x14ac:dyDescent="0.3">
      <c r="A117" s="6">
        <v>116</v>
      </c>
      <c r="B117" t="str" cm="1">
        <f t="array" aca="1" ref="B117" ca="1">INDEX(ΛΙΣΤΕΣ!$A$2:$A$8, RANDBETWEEN(1, COUNTA(ΛΙΣΤΕΣ!$A$2:$A$8)))</f>
        <v>Προϊον Β</v>
      </c>
      <c r="C117" t="str" cm="1">
        <f t="array" aca="1" ref="C117" ca="1">INDEX(ΛΙΣΤΕΣ!$B$2:$B$5, RANDBETWEEN(1, COUNTA(ΛΙΣΤΕΣ!$B$2:$B$5)))</f>
        <v>Χανίων</v>
      </c>
      <c r="D117" t="str" cm="1">
        <f t="array" aca="1" ref="D117" ca="1">INDEX(ΛΙΣΤΕΣ!$C$2:$C$13, RANDBETWEEN(1, COUNTA(ΛΙΣΤΕΣ!$C$2:$C$13)))</f>
        <v>Μάρτιος</v>
      </c>
      <c r="E117" s="6">
        <f t="shared" ca="1" si="6"/>
        <v>289</v>
      </c>
      <c r="F117" s="6">
        <f t="shared" ca="1" si="7"/>
        <v>150</v>
      </c>
      <c r="G117" s="10">
        <f t="shared" ca="1" si="4"/>
        <v>43350</v>
      </c>
      <c r="H117" s="9">
        <f t="shared" ca="1" si="5"/>
        <v>43350</v>
      </c>
    </row>
    <row r="118" spans="1:8" x14ac:dyDescent="0.3">
      <c r="A118" s="6">
        <v>117</v>
      </c>
      <c r="B118" t="str" cm="1">
        <f t="array" aca="1" ref="B118" ca="1">INDEX(ΛΙΣΤΕΣ!$A$2:$A$8, RANDBETWEEN(1, COUNTA(ΛΙΣΤΕΣ!$A$2:$A$8)))</f>
        <v>Υπηρεσία Β</v>
      </c>
      <c r="C118" t="str" cm="1">
        <f t="array" aca="1" ref="C118" ca="1">INDEX(ΛΙΣΤΕΣ!$B$2:$B$5, RANDBETWEEN(1, COUNTA(ΛΙΣΤΕΣ!$B$2:$B$5)))</f>
        <v>Ρεθύμνου</v>
      </c>
      <c r="D118" t="str" cm="1">
        <f t="array" aca="1" ref="D118" ca="1">INDEX(ΛΙΣΤΕΣ!$C$2:$C$13, RANDBETWEEN(1, COUNTA(ΛΙΣΤΕΣ!$C$2:$C$13)))</f>
        <v>Φεβρουάριος</v>
      </c>
      <c r="E118" s="6">
        <f t="shared" ca="1" si="6"/>
        <v>404</v>
      </c>
      <c r="F118" s="6">
        <f t="shared" ca="1" si="7"/>
        <v>129</v>
      </c>
      <c r="G118" s="10">
        <f t="shared" ca="1" si="4"/>
        <v>52116</v>
      </c>
      <c r="H118" s="9">
        <f t="shared" ca="1" si="5"/>
        <v>59933.399999999994</v>
      </c>
    </row>
    <row r="119" spans="1:8" x14ac:dyDescent="0.3">
      <c r="A119" s="6">
        <v>118</v>
      </c>
      <c r="B119" t="str" cm="1">
        <f t="array" aca="1" ref="B119" ca="1">INDEX(ΛΙΣΤΕΣ!$A$2:$A$8, RANDBETWEEN(1, COUNTA(ΛΙΣΤΕΣ!$A$2:$A$8)))</f>
        <v>Προϊον Δ</v>
      </c>
      <c r="C119" t="str" cm="1">
        <f t="array" aca="1" ref="C119" ca="1">INDEX(ΛΙΣΤΕΣ!$B$2:$B$5, RANDBETWEEN(1, COUNTA(ΛΙΣΤΕΣ!$B$2:$B$5)))</f>
        <v>Χανίων</v>
      </c>
      <c r="D119" t="str" cm="1">
        <f t="array" aca="1" ref="D119" ca="1">INDEX(ΛΙΣΤΕΣ!$C$2:$C$13, RANDBETWEEN(1, COUNTA(ΛΙΣΤΕΣ!$C$2:$C$13)))</f>
        <v>Ιούνιος</v>
      </c>
      <c r="E119" s="6">
        <f t="shared" ca="1" si="6"/>
        <v>490</v>
      </c>
      <c r="F119" s="6">
        <f t="shared" ca="1" si="7"/>
        <v>103</v>
      </c>
      <c r="G119" s="10">
        <f t="shared" ca="1" si="4"/>
        <v>50470</v>
      </c>
      <c r="H119" s="9">
        <f t="shared" ca="1" si="5"/>
        <v>50470</v>
      </c>
    </row>
    <row r="120" spans="1:8" x14ac:dyDescent="0.3">
      <c r="A120" s="6">
        <v>119</v>
      </c>
      <c r="B120" t="str" cm="1">
        <f t="array" aca="1" ref="B120" ca="1">INDEX(ΛΙΣΤΕΣ!$A$2:$A$8, RANDBETWEEN(1, COUNTA(ΛΙΣΤΕΣ!$A$2:$A$8)))</f>
        <v>Υπηρεσία Α</v>
      </c>
      <c r="C120" t="str" cm="1">
        <f t="array" aca="1" ref="C120" ca="1">INDEX(ΛΙΣΤΕΣ!$B$2:$B$5, RANDBETWEEN(1, COUNTA(ΛΙΣΤΕΣ!$B$2:$B$5)))</f>
        <v>Λασιθίου</v>
      </c>
      <c r="D120" t="str" cm="1">
        <f t="array" aca="1" ref="D120" ca="1">INDEX(ΛΙΣΤΕΣ!$C$2:$C$13, RANDBETWEEN(1, COUNTA(ΛΙΣΤΕΣ!$C$2:$C$13)))</f>
        <v>Φεβρουάριος</v>
      </c>
      <c r="E120" s="6">
        <f t="shared" ca="1" si="6"/>
        <v>240</v>
      </c>
      <c r="F120" s="6">
        <f t="shared" ca="1" si="7"/>
        <v>5</v>
      </c>
      <c r="G120" s="10">
        <f t="shared" ca="1" si="4"/>
        <v>1200</v>
      </c>
      <c r="H120" s="9">
        <f t="shared" ca="1" si="5"/>
        <v>1200</v>
      </c>
    </row>
    <row r="121" spans="1:8" x14ac:dyDescent="0.3">
      <c r="A121" s="6">
        <v>120</v>
      </c>
      <c r="B121" t="str" cm="1">
        <f t="array" aca="1" ref="B121" ca="1">INDEX(ΛΙΣΤΕΣ!$A$2:$A$8, RANDBETWEEN(1, COUNTA(ΛΙΣΤΕΣ!$A$2:$A$8)))</f>
        <v>Υπηρεσία Α</v>
      </c>
      <c r="C121" t="str" cm="1">
        <f t="array" aca="1" ref="C121" ca="1">INDEX(ΛΙΣΤΕΣ!$B$2:$B$5, RANDBETWEEN(1, COUNTA(ΛΙΣΤΕΣ!$B$2:$B$5)))</f>
        <v>Λασιθίου</v>
      </c>
      <c r="D121" t="str" cm="1">
        <f t="array" aca="1" ref="D121" ca="1">INDEX(ΛΙΣΤΕΣ!$C$2:$C$13, RANDBETWEEN(1, COUNTA(ΛΙΣΤΕΣ!$C$2:$C$13)))</f>
        <v>Μάιος</v>
      </c>
      <c r="E121" s="6">
        <f t="shared" ca="1" si="6"/>
        <v>195</v>
      </c>
      <c r="F121" s="6">
        <f t="shared" ca="1" si="7"/>
        <v>39</v>
      </c>
      <c r="G121" s="10">
        <f t="shared" ca="1" si="4"/>
        <v>7605</v>
      </c>
      <c r="H121" s="9">
        <f t="shared" ca="1" si="5"/>
        <v>7605</v>
      </c>
    </row>
    <row r="122" spans="1:8" x14ac:dyDescent="0.3">
      <c r="A122" s="6">
        <v>121</v>
      </c>
      <c r="B122" t="str" cm="1">
        <f t="array" aca="1" ref="B122" ca="1">INDEX(ΛΙΣΤΕΣ!$A$2:$A$8, RANDBETWEEN(1, COUNTA(ΛΙΣΤΕΣ!$A$2:$A$8)))</f>
        <v>Υπηρεσία Γ</v>
      </c>
      <c r="C122" t="str" cm="1">
        <f t="array" aca="1" ref="C122" ca="1">INDEX(ΛΙΣΤΕΣ!$B$2:$B$5, RANDBETWEEN(1, COUNTA(ΛΙΣΤΕΣ!$B$2:$B$5)))</f>
        <v>Χανίων</v>
      </c>
      <c r="D122" t="str" cm="1">
        <f t="array" aca="1" ref="D122" ca="1">INDEX(ΛΙΣΤΕΣ!$C$2:$C$13, RANDBETWEEN(1, COUNTA(ΛΙΣΤΕΣ!$C$2:$C$13)))</f>
        <v>Φεβρουάριος</v>
      </c>
      <c r="E122" s="6">
        <f t="shared" ca="1" si="6"/>
        <v>267</v>
      </c>
      <c r="F122" s="6">
        <f t="shared" ca="1" si="7"/>
        <v>75</v>
      </c>
      <c r="G122" s="10">
        <f t="shared" ca="1" si="4"/>
        <v>20025</v>
      </c>
      <c r="H122" s="9">
        <f t="shared" ca="1" si="5"/>
        <v>23028.75</v>
      </c>
    </row>
    <row r="123" spans="1:8" x14ac:dyDescent="0.3">
      <c r="A123" s="6">
        <v>122</v>
      </c>
      <c r="B123" t="str" cm="1">
        <f t="array" aca="1" ref="B123" ca="1">INDEX(ΛΙΣΤΕΣ!$A$2:$A$8, RANDBETWEEN(1, COUNTA(ΛΙΣΤΕΣ!$A$2:$A$8)))</f>
        <v>Υπηρεσία Β</v>
      </c>
      <c r="C123" t="str" cm="1">
        <f t="array" aca="1" ref="C123" ca="1">INDEX(ΛΙΣΤΕΣ!$B$2:$B$5, RANDBETWEEN(1, COUNTA(ΛΙΣΤΕΣ!$B$2:$B$5)))</f>
        <v>Ηρακλείου</v>
      </c>
      <c r="D123" t="str" cm="1">
        <f t="array" aca="1" ref="D123" ca="1">INDEX(ΛΙΣΤΕΣ!$C$2:$C$13, RANDBETWEEN(1, COUNTA(ΛΙΣΤΕΣ!$C$2:$C$13)))</f>
        <v>Ιούλιος</v>
      </c>
      <c r="E123" s="6">
        <f t="shared" ca="1" si="6"/>
        <v>109</v>
      </c>
      <c r="F123" s="6">
        <f t="shared" ca="1" si="7"/>
        <v>50</v>
      </c>
      <c r="G123" s="10">
        <f t="shared" ca="1" si="4"/>
        <v>5450</v>
      </c>
      <c r="H123" s="9">
        <f t="shared" ca="1" si="5"/>
        <v>6267.4999999999991</v>
      </c>
    </row>
    <row r="124" spans="1:8" x14ac:dyDescent="0.3">
      <c r="A124" s="6">
        <v>123</v>
      </c>
      <c r="B124" t="str" cm="1">
        <f t="array" aca="1" ref="B124" ca="1">INDEX(ΛΙΣΤΕΣ!$A$2:$A$8, RANDBETWEEN(1, COUNTA(ΛΙΣΤΕΣ!$A$2:$A$8)))</f>
        <v>Προϊον Β</v>
      </c>
      <c r="C124" t="str" cm="1">
        <f t="array" aca="1" ref="C124" ca="1">INDEX(ΛΙΣΤΕΣ!$B$2:$B$5, RANDBETWEEN(1, COUNTA(ΛΙΣΤΕΣ!$B$2:$B$5)))</f>
        <v>Χανίων</v>
      </c>
      <c r="D124" t="str" cm="1">
        <f t="array" aca="1" ref="D124" ca="1">INDEX(ΛΙΣΤΕΣ!$C$2:$C$13, RANDBETWEEN(1, COUNTA(ΛΙΣΤΕΣ!$C$2:$C$13)))</f>
        <v>Μάιος</v>
      </c>
      <c r="E124" s="6">
        <f t="shared" ca="1" si="6"/>
        <v>465</v>
      </c>
      <c r="F124" s="6">
        <f t="shared" ca="1" si="7"/>
        <v>38</v>
      </c>
      <c r="G124" s="10">
        <f t="shared" ca="1" si="4"/>
        <v>17670</v>
      </c>
      <c r="H124" s="9">
        <f t="shared" ca="1" si="5"/>
        <v>17670</v>
      </c>
    </row>
    <row r="125" spans="1:8" x14ac:dyDescent="0.3">
      <c r="A125" s="6">
        <v>124</v>
      </c>
      <c r="B125" t="str" cm="1">
        <f t="array" aca="1" ref="B125" ca="1">INDEX(ΛΙΣΤΕΣ!$A$2:$A$8, RANDBETWEEN(1, COUNTA(ΛΙΣΤΕΣ!$A$2:$A$8)))</f>
        <v>Προϊον Α</v>
      </c>
      <c r="C125" t="str" cm="1">
        <f t="array" aca="1" ref="C125" ca="1">INDEX(ΛΙΣΤΕΣ!$B$2:$B$5, RANDBETWEEN(1, COUNTA(ΛΙΣΤΕΣ!$B$2:$B$5)))</f>
        <v>Ρεθύμνου</v>
      </c>
      <c r="D125" t="str" cm="1">
        <f t="array" aca="1" ref="D125" ca="1">INDEX(ΛΙΣΤΕΣ!$C$2:$C$13, RANDBETWEEN(1, COUNTA(ΛΙΣΤΕΣ!$C$2:$C$13)))</f>
        <v>Μάρτιος</v>
      </c>
      <c r="E125" s="6">
        <f t="shared" ca="1" si="6"/>
        <v>227</v>
      </c>
      <c r="F125" s="6">
        <f t="shared" ca="1" si="7"/>
        <v>33</v>
      </c>
      <c r="G125" s="10">
        <f t="shared" ca="1" si="4"/>
        <v>7491</v>
      </c>
      <c r="H125" s="9">
        <f t="shared" ca="1" si="5"/>
        <v>7491</v>
      </c>
    </row>
    <row r="126" spans="1:8" x14ac:dyDescent="0.3">
      <c r="A126" s="6">
        <v>125</v>
      </c>
      <c r="B126" t="str" cm="1">
        <f t="array" aca="1" ref="B126" ca="1">INDEX(ΛΙΣΤΕΣ!$A$2:$A$8, RANDBETWEEN(1, COUNTA(ΛΙΣΤΕΣ!$A$2:$A$8)))</f>
        <v>Προϊον Δ</v>
      </c>
      <c r="C126" t="str" cm="1">
        <f t="array" aca="1" ref="C126" ca="1">INDEX(ΛΙΣΤΕΣ!$B$2:$B$5, RANDBETWEEN(1, COUNTA(ΛΙΣΤΕΣ!$B$2:$B$5)))</f>
        <v>Χανίων</v>
      </c>
      <c r="D126" t="str" cm="1">
        <f t="array" aca="1" ref="D126" ca="1">INDEX(ΛΙΣΤΕΣ!$C$2:$C$13, RANDBETWEEN(1, COUNTA(ΛΙΣΤΕΣ!$C$2:$C$13)))</f>
        <v>Νοέμβριος</v>
      </c>
      <c r="E126" s="6">
        <f t="shared" ca="1" si="6"/>
        <v>204</v>
      </c>
      <c r="F126" s="6">
        <f t="shared" ca="1" si="7"/>
        <v>139</v>
      </c>
      <c r="G126" s="10">
        <f t="shared" ca="1" si="4"/>
        <v>28356</v>
      </c>
      <c r="H126" s="9">
        <f t="shared" ca="1" si="5"/>
        <v>28356</v>
      </c>
    </row>
    <row r="127" spans="1:8" x14ac:dyDescent="0.3">
      <c r="A127" s="6">
        <v>126</v>
      </c>
      <c r="B127" t="str" cm="1">
        <f t="array" aca="1" ref="B127" ca="1">INDEX(ΛΙΣΤΕΣ!$A$2:$A$8, RANDBETWEEN(1, COUNTA(ΛΙΣΤΕΣ!$A$2:$A$8)))</f>
        <v>Προϊον Β</v>
      </c>
      <c r="C127" t="str" cm="1">
        <f t="array" aca="1" ref="C127" ca="1">INDEX(ΛΙΣΤΕΣ!$B$2:$B$5, RANDBETWEEN(1, COUNTA(ΛΙΣΤΕΣ!$B$2:$B$5)))</f>
        <v>Χανίων</v>
      </c>
      <c r="D127" t="str" cm="1">
        <f t="array" aca="1" ref="D127" ca="1">INDEX(ΛΙΣΤΕΣ!$C$2:$C$13, RANDBETWEEN(1, COUNTA(ΛΙΣΤΕΣ!$C$2:$C$13)))</f>
        <v>Σεπτέμβριος</v>
      </c>
      <c r="E127" s="6">
        <f t="shared" ca="1" si="6"/>
        <v>499</v>
      </c>
      <c r="F127" s="6">
        <f t="shared" ca="1" si="7"/>
        <v>143</v>
      </c>
      <c r="G127" s="10">
        <f t="shared" ca="1" si="4"/>
        <v>71357</v>
      </c>
      <c r="H127" s="9">
        <f t="shared" ca="1" si="5"/>
        <v>82060.549999999988</v>
      </c>
    </row>
    <row r="128" spans="1:8" x14ac:dyDescent="0.3">
      <c r="A128" s="6">
        <v>127</v>
      </c>
      <c r="B128" t="str" cm="1">
        <f t="array" aca="1" ref="B128" ca="1">INDEX(ΛΙΣΤΕΣ!$A$2:$A$8, RANDBETWEEN(1, COUNTA(ΛΙΣΤΕΣ!$A$2:$A$8)))</f>
        <v>Προϊον Α</v>
      </c>
      <c r="C128" t="str" cm="1">
        <f t="array" aca="1" ref="C128" ca="1">INDEX(ΛΙΣΤΕΣ!$B$2:$B$5, RANDBETWEEN(1, COUNTA(ΛΙΣΤΕΣ!$B$2:$B$5)))</f>
        <v>Ηρακλείου</v>
      </c>
      <c r="D128" t="str" cm="1">
        <f t="array" aca="1" ref="D128" ca="1">INDEX(ΛΙΣΤΕΣ!$C$2:$C$13, RANDBETWEEN(1, COUNTA(ΛΙΣΤΕΣ!$C$2:$C$13)))</f>
        <v>Απρίλιος</v>
      </c>
      <c r="E128" s="6">
        <f t="shared" ca="1" si="6"/>
        <v>430</v>
      </c>
      <c r="F128" s="6">
        <f t="shared" ca="1" si="7"/>
        <v>37</v>
      </c>
      <c r="G128" s="10">
        <f t="shared" ca="1" si="4"/>
        <v>15910</v>
      </c>
      <c r="H128" s="9">
        <f t="shared" ca="1" si="5"/>
        <v>15910</v>
      </c>
    </row>
    <row r="129" spans="1:8" x14ac:dyDescent="0.3">
      <c r="A129" s="6">
        <v>128</v>
      </c>
      <c r="B129" t="str" cm="1">
        <f t="array" aca="1" ref="B129" ca="1">INDEX(ΛΙΣΤΕΣ!$A$2:$A$8, RANDBETWEEN(1, COUNTA(ΛΙΣΤΕΣ!$A$2:$A$8)))</f>
        <v>Υπηρεσία Α</v>
      </c>
      <c r="C129" t="str" cm="1">
        <f t="array" aca="1" ref="C129" ca="1">INDEX(ΛΙΣΤΕΣ!$B$2:$B$5, RANDBETWEEN(1, COUNTA(ΛΙΣΤΕΣ!$B$2:$B$5)))</f>
        <v>Λασιθίου</v>
      </c>
      <c r="D129" t="str" cm="1">
        <f t="array" aca="1" ref="D129" ca="1">INDEX(ΛΙΣΤΕΣ!$C$2:$C$13, RANDBETWEEN(1, COUNTA(ΛΙΣΤΕΣ!$C$2:$C$13)))</f>
        <v>Απρίλιος</v>
      </c>
      <c r="E129" s="6">
        <f t="shared" ca="1" si="6"/>
        <v>383</v>
      </c>
      <c r="F129" s="6">
        <f t="shared" ca="1" si="7"/>
        <v>105</v>
      </c>
      <c r="G129" s="10">
        <f t="shared" ca="1" si="4"/>
        <v>40215</v>
      </c>
      <c r="H129" s="9">
        <f t="shared" ca="1" si="5"/>
        <v>46247.25</v>
      </c>
    </row>
    <row r="130" spans="1:8" x14ac:dyDescent="0.3">
      <c r="A130" s="6">
        <v>129</v>
      </c>
      <c r="B130" t="str" cm="1">
        <f t="array" aca="1" ref="B130" ca="1">INDEX(ΛΙΣΤΕΣ!$A$2:$A$8, RANDBETWEEN(1, COUNTA(ΛΙΣΤΕΣ!$A$2:$A$8)))</f>
        <v>Προϊον Α</v>
      </c>
      <c r="C130" t="str" cm="1">
        <f t="array" aca="1" ref="C130" ca="1">INDEX(ΛΙΣΤΕΣ!$B$2:$B$5, RANDBETWEEN(1, COUNTA(ΛΙΣΤΕΣ!$B$2:$B$5)))</f>
        <v>Ρεθύμνου</v>
      </c>
      <c r="D130" t="str" cm="1">
        <f t="array" aca="1" ref="D130" ca="1">INDEX(ΛΙΣΤΕΣ!$C$2:$C$13, RANDBETWEEN(1, COUNTA(ΛΙΣΤΕΣ!$C$2:$C$13)))</f>
        <v>Μάρτιος</v>
      </c>
      <c r="E130" s="6">
        <f t="shared" ca="1" si="6"/>
        <v>200</v>
      </c>
      <c r="F130" s="6">
        <f t="shared" ca="1" si="7"/>
        <v>128</v>
      </c>
      <c r="G130" s="10">
        <f t="shared" ref="G130:G151" ca="1" si="8">E130*F130</f>
        <v>25600</v>
      </c>
      <c r="H130" s="9">
        <f t="shared" ref="H130:H151" ca="1" si="9">G130*( 1 + 15% * RANDBETWEEN(0,1))</f>
        <v>25600</v>
      </c>
    </row>
    <row r="131" spans="1:8" x14ac:dyDescent="0.3">
      <c r="A131" s="6">
        <v>130</v>
      </c>
      <c r="B131" t="str" cm="1">
        <f t="array" aca="1" ref="B131" ca="1">INDEX(ΛΙΣΤΕΣ!$A$2:$A$8, RANDBETWEEN(1, COUNTA(ΛΙΣΤΕΣ!$A$2:$A$8)))</f>
        <v>Προϊον Α</v>
      </c>
      <c r="C131" t="str" cm="1">
        <f t="array" aca="1" ref="C131" ca="1">INDEX(ΛΙΣΤΕΣ!$B$2:$B$5, RANDBETWEEN(1, COUNTA(ΛΙΣΤΕΣ!$B$2:$B$5)))</f>
        <v>Ηρακλείου</v>
      </c>
      <c r="D131" t="str" cm="1">
        <f t="array" aca="1" ref="D131" ca="1">INDEX(ΛΙΣΤΕΣ!$C$2:$C$13, RANDBETWEEN(1, COUNTA(ΛΙΣΤΕΣ!$C$2:$C$13)))</f>
        <v>Αύγουστος</v>
      </c>
      <c r="E131" s="6">
        <f t="shared" ref="E131:E151" ca="1" si="10">RANDBETWEEN(10, 500)</f>
        <v>425</v>
      </c>
      <c r="F131" s="6">
        <f t="shared" ref="F131:F151" ca="1" si="11">RANDBETWEEN(5, 150)</f>
        <v>5</v>
      </c>
      <c r="G131" s="10">
        <f t="shared" ca="1" si="8"/>
        <v>2125</v>
      </c>
      <c r="H131" s="9">
        <f t="shared" ca="1" si="9"/>
        <v>2443.75</v>
      </c>
    </row>
    <row r="132" spans="1:8" x14ac:dyDescent="0.3">
      <c r="A132" s="6">
        <v>131</v>
      </c>
      <c r="B132" t="str" cm="1">
        <f t="array" aca="1" ref="B132" ca="1">INDEX(ΛΙΣΤΕΣ!$A$2:$A$8, RANDBETWEEN(1, COUNTA(ΛΙΣΤΕΣ!$A$2:$A$8)))</f>
        <v>Υπηρεσία Α</v>
      </c>
      <c r="C132" t="str" cm="1">
        <f t="array" aca="1" ref="C132" ca="1">INDEX(ΛΙΣΤΕΣ!$B$2:$B$5, RANDBETWEEN(1, COUNTA(ΛΙΣΤΕΣ!$B$2:$B$5)))</f>
        <v>Ηρακλείου</v>
      </c>
      <c r="D132" t="str" cm="1">
        <f t="array" aca="1" ref="D132" ca="1">INDEX(ΛΙΣΤΕΣ!$C$2:$C$13, RANDBETWEEN(1, COUNTA(ΛΙΣΤΕΣ!$C$2:$C$13)))</f>
        <v>Ιανουάριος</v>
      </c>
      <c r="E132" s="6">
        <f t="shared" ca="1" si="10"/>
        <v>69</v>
      </c>
      <c r="F132" s="6">
        <f t="shared" ca="1" si="11"/>
        <v>32</v>
      </c>
      <c r="G132" s="10">
        <f t="shared" ca="1" si="8"/>
        <v>2208</v>
      </c>
      <c r="H132" s="9">
        <f t="shared" ca="1" si="9"/>
        <v>2208</v>
      </c>
    </row>
    <row r="133" spans="1:8" x14ac:dyDescent="0.3">
      <c r="A133" s="6">
        <v>132</v>
      </c>
      <c r="B133" t="str" cm="1">
        <f t="array" aca="1" ref="B133" ca="1">INDEX(ΛΙΣΤΕΣ!$A$2:$A$8, RANDBETWEEN(1, COUNTA(ΛΙΣΤΕΣ!$A$2:$A$8)))</f>
        <v>Προϊον Β</v>
      </c>
      <c r="C133" t="str" cm="1">
        <f t="array" aca="1" ref="C133" ca="1">INDEX(ΛΙΣΤΕΣ!$B$2:$B$5, RANDBETWEEN(1, COUNTA(ΛΙΣΤΕΣ!$B$2:$B$5)))</f>
        <v>Λασιθίου</v>
      </c>
      <c r="D133" t="str" cm="1">
        <f t="array" aca="1" ref="D133" ca="1">INDEX(ΛΙΣΤΕΣ!$C$2:$C$13, RANDBETWEEN(1, COUNTA(ΛΙΣΤΕΣ!$C$2:$C$13)))</f>
        <v>Φεβρουάριος</v>
      </c>
      <c r="E133" s="6">
        <f t="shared" ca="1" si="10"/>
        <v>360</v>
      </c>
      <c r="F133" s="6">
        <f t="shared" ca="1" si="11"/>
        <v>140</v>
      </c>
      <c r="G133" s="10">
        <f t="shared" ca="1" si="8"/>
        <v>50400</v>
      </c>
      <c r="H133" s="9">
        <f t="shared" ca="1" si="9"/>
        <v>50400</v>
      </c>
    </row>
    <row r="134" spans="1:8" x14ac:dyDescent="0.3">
      <c r="A134" s="6">
        <v>133</v>
      </c>
      <c r="B134" t="str" cm="1">
        <f t="array" aca="1" ref="B134" ca="1">INDEX(ΛΙΣΤΕΣ!$A$2:$A$8, RANDBETWEEN(1, COUNTA(ΛΙΣΤΕΣ!$A$2:$A$8)))</f>
        <v>Προϊον Γ</v>
      </c>
      <c r="C134" t="str" cm="1">
        <f t="array" aca="1" ref="C134" ca="1">INDEX(ΛΙΣΤΕΣ!$B$2:$B$5, RANDBETWEEN(1, COUNTA(ΛΙΣΤΕΣ!$B$2:$B$5)))</f>
        <v>Ηρακλείου</v>
      </c>
      <c r="D134" t="str" cm="1">
        <f t="array" aca="1" ref="D134" ca="1">INDEX(ΛΙΣΤΕΣ!$C$2:$C$13, RANDBETWEEN(1, COUNTA(ΛΙΣΤΕΣ!$C$2:$C$13)))</f>
        <v>Αύγουστος</v>
      </c>
      <c r="E134" s="6">
        <f t="shared" ca="1" si="10"/>
        <v>416</v>
      </c>
      <c r="F134" s="6">
        <f t="shared" ca="1" si="11"/>
        <v>5</v>
      </c>
      <c r="G134" s="10">
        <f t="shared" ca="1" si="8"/>
        <v>2080</v>
      </c>
      <c r="H134" s="9">
        <f t="shared" ca="1" si="9"/>
        <v>2392</v>
      </c>
    </row>
    <row r="135" spans="1:8" x14ac:dyDescent="0.3">
      <c r="A135" s="6">
        <v>134</v>
      </c>
      <c r="B135" t="str" cm="1">
        <f t="array" aca="1" ref="B135" ca="1">INDEX(ΛΙΣΤΕΣ!$A$2:$A$8, RANDBETWEEN(1, COUNTA(ΛΙΣΤΕΣ!$A$2:$A$8)))</f>
        <v>Προϊον Α</v>
      </c>
      <c r="C135" t="str" cm="1">
        <f t="array" aca="1" ref="C135" ca="1">INDEX(ΛΙΣΤΕΣ!$B$2:$B$5, RANDBETWEEN(1, COUNTA(ΛΙΣΤΕΣ!$B$2:$B$5)))</f>
        <v>Λασιθίου</v>
      </c>
      <c r="D135" t="str" cm="1">
        <f t="array" aca="1" ref="D135" ca="1">INDEX(ΛΙΣΤΕΣ!$C$2:$C$13, RANDBETWEEN(1, COUNTA(ΛΙΣΤΕΣ!$C$2:$C$13)))</f>
        <v>Οκτώβριος</v>
      </c>
      <c r="E135" s="6">
        <f t="shared" ca="1" si="10"/>
        <v>451</v>
      </c>
      <c r="F135" s="6">
        <f t="shared" ca="1" si="11"/>
        <v>93</v>
      </c>
      <c r="G135" s="10">
        <f t="shared" ca="1" si="8"/>
        <v>41943</v>
      </c>
      <c r="H135" s="9">
        <f t="shared" ca="1" si="9"/>
        <v>48234.45</v>
      </c>
    </row>
    <row r="136" spans="1:8" x14ac:dyDescent="0.3">
      <c r="A136" s="6">
        <v>135</v>
      </c>
      <c r="B136" t="str" cm="1">
        <f t="array" aca="1" ref="B136" ca="1">INDEX(ΛΙΣΤΕΣ!$A$2:$A$8, RANDBETWEEN(1, COUNTA(ΛΙΣΤΕΣ!$A$2:$A$8)))</f>
        <v>Υπηρεσία Α</v>
      </c>
      <c r="C136" t="str" cm="1">
        <f t="array" aca="1" ref="C136" ca="1">INDEX(ΛΙΣΤΕΣ!$B$2:$B$5, RANDBETWEEN(1, COUNTA(ΛΙΣΤΕΣ!$B$2:$B$5)))</f>
        <v>Λασιθίου</v>
      </c>
      <c r="D136" t="str" cm="1">
        <f t="array" aca="1" ref="D136" ca="1">INDEX(ΛΙΣΤΕΣ!$C$2:$C$13, RANDBETWEEN(1, COUNTA(ΛΙΣΤΕΣ!$C$2:$C$13)))</f>
        <v>Νοέμβριος</v>
      </c>
      <c r="E136" s="6">
        <f t="shared" ca="1" si="10"/>
        <v>105</v>
      </c>
      <c r="F136" s="6">
        <f t="shared" ca="1" si="11"/>
        <v>56</v>
      </c>
      <c r="G136" s="10">
        <f t="shared" ca="1" si="8"/>
        <v>5880</v>
      </c>
      <c r="H136" s="9">
        <f t="shared" ca="1" si="9"/>
        <v>5880</v>
      </c>
    </row>
    <row r="137" spans="1:8" x14ac:dyDescent="0.3">
      <c r="A137" s="6">
        <v>136</v>
      </c>
      <c r="B137" t="str" cm="1">
        <f t="array" aca="1" ref="B137" ca="1">INDEX(ΛΙΣΤΕΣ!$A$2:$A$8, RANDBETWEEN(1, COUNTA(ΛΙΣΤΕΣ!$A$2:$A$8)))</f>
        <v>Προϊον Δ</v>
      </c>
      <c r="C137" t="str" cm="1">
        <f t="array" aca="1" ref="C137" ca="1">INDEX(ΛΙΣΤΕΣ!$B$2:$B$5, RANDBETWEEN(1, COUNTA(ΛΙΣΤΕΣ!$B$2:$B$5)))</f>
        <v>Ρεθύμνου</v>
      </c>
      <c r="D137" t="str" cm="1">
        <f t="array" aca="1" ref="D137" ca="1">INDEX(ΛΙΣΤΕΣ!$C$2:$C$13, RANDBETWEEN(1, COUNTA(ΛΙΣΤΕΣ!$C$2:$C$13)))</f>
        <v>Ιούνιος</v>
      </c>
      <c r="E137" s="6">
        <f t="shared" ca="1" si="10"/>
        <v>159</v>
      </c>
      <c r="F137" s="6">
        <f t="shared" ca="1" si="11"/>
        <v>130</v>
      </c>
      <c r="G137" s="10">
        <f t="shared" ca="1" si="8"/>
        <v>20670</v>
      </c>
      <c r="H137" s="9">
        <f t="shared" ca="1" si="9"/>
        <v>23770.499999999996</v>
      </c>
    </row>
    <row r="138" spans="1:8" x14ac:dyDescent="0.3">
      <c r="A138" s="6">
        <v>137</v>
      </c>
      <c r="B138" t="str" cm="1">
        <f t="array" aca="1" ref="B138" ca="1">INDEX(ΛΙΣΤΕΣ!$A$2:$A$8, RANDBETWEEN(1, COUNTA(ΛΙΣΤΕΣ!$A$2:$A$8)))</f>
        <v>Υπηρεσία Γ</v>
      </c>
      <c r="C138" t="str" cm="1">
        <f t="array" aca="1" ref="C138" ca="1">INDEX(ΛΙΣΤΕΣ!$B$2:$B$5, RANDBETWEEN(1, COUNTA(ΛΙΣΤΕΣ!$B$2:$B$5)))</f>
        <v>Χανίων</v>
      </c>
      <c r="D138" t="str" cm="1">
        <f t="array" aca="1" ref="D138" ca="1">INDEX(ΛΙΣΤΕΣ!$C$2:$C$13, RANDBETWEEN(1, COUNTA(ΛΙΣΤΕΣ!$C$2:$C$13)))</f>
        <v>Σεπτέμβριος</v>
      </c>
      <c r="E138" s="6">
        <f t="shared" ca="1" si="10"/>
        <v>17</v>
      </c>
      <c r="F138" s="6">
        <f t="shared" ca="1" si="11"/>
        <v>118</v>
      </c>
      <c r="G138" s="10">
        <f t="shared" ca="1" si="8"/>
        <v>2006</v>
      </c>
      <c r="H138" s="9">
        <f t="shared" ca="1" si="9"/>
        <v>2306.8999999999996</v>
      </c>
    </row>
    <row r="139" spans="1:8" x14ac:dyDescent="0.3">
      <c r="A139" s="6">
        <v>138</v>
      </c>
      <c r="B139" t="str" cm="1">
        <f t="array" aca="1" ref="B139" ca="1">INDEX(ΛΙΣΤΕΣ!$A$2:$A$8, RANDBETWEEN(1, COUNTA(ΛΙΣΤΕΣ!$A$2:$A$8)))</f>
        <v>Προϊον Β</v>
      </c>
      <c r="C139" t="str" cm="1">
        <f t="array" aca="1" ref="C139" ca="1">INDEX(ΛΙΣΤΕΣ!$B$2:$B$5, RANDBETWEEN(1, COUNTA(ΛΙΣΤΕΣ!$B$2:$B$5)))</f>
        <v>Λασιθίου</v>
      </c>
      <c r="D139" t="str" cm="1">
        <f t="array" aca="1" ref="D139" ca="1">INDEX(ΛΙΣΤΕΣ!$C$2:$C$13, RANDBETWEEN(1, COUNTA(ΛΙΣΤΕΣ!$C$2:$C$13)))</f>
        <v>Μάιος</v>
      </c>
      <c r="E139" s="6">
        <f t="shared" ca="1" si="10"/>
        <v>124</v>
      </c>
      <c r="F139" s="6">
        <f t="shared" ca="1" si="11"/>
        <v>136</v>
      </c>
      <c r="G139" s="10">
        <f t="shared" ca="1" si="8"/>
        <v>16864</v>
      </c>
      <c r="H139" s="9">
        <f t="shared" ca="1" si="9"/>
        <v>16864</v>
      </c>
    </row>
    <row r="140" spans="1:8" x14ac:dyDescent="0.3">
      <c r="A140" s="6">
        <v>139</v>
      </c>
      <c r="B140" t="str" cm="1">
        <f t="array" aca="1" ref="B140" ca="1">INDEX(ΛΙΣΤΕΣ!$A$2:$A$8, RANDBETWEEN(1, COUNTA(ΛΙΣΤΕΣ!$A$2:$A$8)))</f>
        <v>Υπηρεσία Β</v>
      </c>
      <c r="C140" t="str" cm="1">
        <f t="array" aca="1" ref="C140" ca="1">INDEX(ΛΙΣΤΕΣ!$B$2:$B$5, RANDBETWEEN(1, COUNTA(ΛΙΣΤΕΣ!$B$2:$B$5)))</f>
        <v>Ρεθύμνου</v>
      </c>
      <c r="D140" t="str" cm="1">
        <f t="array" aca="1" ref="D140" ca="1">INDEX(ΛΙΣΤΕΣ!$C$2:$C$13, RANDBETWEEN(1, COUNTA(ΛΙΣΤΕΣ!$C$2:$C$13)))</f>
        <v>Μάιος</v>
      </c>
      <c r="E140" s="6">
        <f t="shared" ca="1" si="10"/>
        <v>189</v>
      </c>
      <c r="F140" s="6">
        <f t="shared" ca="1" si="11"/>
        <v>99</v>
      </c>
      <c r="G140" s="10">
        <f t="shared" ca="1" si="8"/>
        <v>18711</v>
      </c>
      <c r="H140" s="9">
        <f t="shared" ca="1" si="9"/>
        <v>18711</v>
      </c>
    </row>
    <row r="141" spans="1:8" x14ac:dyDescent="0.3">
      <c r="A141" s="6">
        <v>140</v>
      </c>
      <c r="B141" t="str" cm="1">
        <f t="array" aca="1" ref="B141" ca="1">INDEX(ΛΙΣΤΕΣ!$A$2:$A$8, RANDBETWEEN(1, COUNTA(ΛΙΣΤΕΣ!$A$2:$A$8)))</f>
        <v>Προϊον Δ</v>
      </c>
      <c r="C141" t="str" cm="1">
        <f t="array" aca="1" ref="C141" ca="1">INDEX(ΛΙΣΤΕΣ!$B$2:$B$5, RANDBETWEEN(1, COUNTA(ΛΙΣΤΕΣ!$B$2:$B$5)))</f>
        <v>Ρεθύμνου</v>
      </c>
      <c r="D141" t="str" cm="1">
        <f t="array" aca="1" ref="D141" ca="1">INDEX(ΛΙΣΤΕΣ!$C$2:$C$13, RANDBETWEEN(1, COUNTA(ΛΙΣΤΕΣ!$C$2:$C$13)))</f>
        <v>Σεπτέμβριος</v>
      </c>
      <c r="E141" s="6">
        <f t="shared" ca="1" si="10"/>
        <v>408</v>
      </c>
      <c r="F141" s="6">
        <f t="shared" ca="1" si="11"/>
        <v>149</v>
      </c>
      <c r="G141" s="10">
        <f t="shared" ca="1" si="8"/>
        <v>60792</v>
      </c>
      <c r="H141" s="9">
        <f t="shared" ca="1" si="9"/>
        <v>60792</v>
      </c>
    </row>
    <row r="142" spans="1:8" x14ac:dyDescent="0.3">
      <c r="A142" s="6">
        <v>141</v>
      </c>
      <c r="B142" t="str" cm="1">
        <f t="array" aca="1" ref="B142" ca="1">INDEX(ΛΙΣΤΕΣ!$A$2:$A$8, RANDBETWEEN(1, COUNTA(ΛΙΣΤΕΣ!$A$2:$A$8)))</f>
        <v>Υπηρεσία Α</v>
      </c>
      <c r="C142" t="str" cm="1">
        <f t="array" aca="1" ref="C142" ca="1">INDEX(ΛΙΣΤΕΣ!$B$2:$B$5, RANDBETWEEN(1, COUNTA(ΛΙΣΤΕΣ!$B$2:$B$5)))</f>
        <v>Λασιθίου</v>
      </c>
      <c r="D142" t="str" cm="1">
        <f t="array" aca="1" ref="D142" ca="1">INDEX(ΛΙΣΤΕΣ!$C$2:$C$13, RANDBETWEEN(1, COUNTA(ΛΙΣΤΕΣ!$C$2:$C$13)))</f>
        <v>Μάιος</v>
      </c>
      <c r="E142" s="6">
        <f t="shared" ca="1" si="10"/>
        <v>256</v>
      </c>
      <c r="F142" s="6">
        <f t="shared" ca="1" si="11"/>
        <v>32</v>
      </c>
      <c r="G142" s="10">
        <f t="shared" ca="1" si="8"/>
        <v>8192</v>
      </c>
      <c r="H142" s="9">
        <f t="shared" ca="1" si="9"/>
        <v>8192</v>
      </c>
    </row>
    <row r="143" spans="1:8" x14ac:dyDescent="0.3">
      <c r="A143" s="6">
        <v>142</v>
      </c>
      <c r="B143" t="str" cm="1">
        <f t="array" aca="1" ref="B143" ca="1">INDEX(ΛΙΣΤΕΣ!$A$2:$A$8, RANDBETWEEN(1, COUNTA(ΛΙΣΤΕΣ!$A$2:$A$8)))</f>
        <v>Προϊον Δ</v>
      </c>
      <c r="C143" t="str" cm="1">
        <f t="array" aca="1" ref="C143" ca="1">INDEX(ΛΙΣΤΕΣ!$B$2:$B$5, RANDBETWEEN(1, COUNTA(ΛΙΣΤΕΣ!$B$2:$B$5)))</f>
        <v>Λασιθίου</v>
      </c>
      <c r="D143" t="str" cm="1">
        <f t="array" aca="1" ref="D143" ca="1">INDEX(ΛΙΣΤΕΣ!$C$2:$C$13, RANDBETWEEN(1, COUNTA(ΛΙΣΤΕΣ!$C$2:$C$13)))</f>
        <v>Οκτώβριος</v>
      </c>
      <c r="E143" s="6">
        <f t="shared" ca="1" si="10"/>
        <v>103</v>
      </c>
      <c r="F143" s="6">
        <f t="shared" ca="1" si="11"/>
        <v>77</v>
      </c>
      <c r="G143" s="10">
        <f t="shared" ca="1" si="8"/>
        <v>7931</v>
      </c>
      <c r="H143" s="9">
        <f t="shared" ca="1" si="9"/>
        <v>9120.65</v>
      </c>
    </row>
    <row r="144" spans="1:8" x14ac:dyDescent="0.3">
      <c r="A144" s="6">
        <v>143</v>
      </c>
      <c r="B144" t="str" cm="1">
        <f t="array" aca="1" ref="B144" ca="1">INDEX(ΛΙΣΤΕΣ!$A$2:$A$8, RANDBETWEEN(1, COUNTA(ΛΙΣΤΕΣ!$A$2:$A$8)))</f>
        <v>Υπηρεσία Β</v>
      </c>
      <c r="C144" t="str" cm="1">
        <f t="array" aca="1" ref="C144" ca="1">INDEX(ΛΙΣΤΕΣ!$B$2:$B$5, RANDBETWEEN(1, COUNTA(ΛΙΣΤΕΣ!$B$2:$B$5)))</f>
        <v>Ρεθύμνου</v>
      </c>
      <c r="D144" t="str" cm="1">
        <f t="array" aca="1" ref="D144" ca="1">INDEX(ΛΙΣΤΕΣ!$C$2:$C$13, RANDBETWEEN(1, COUNTA(ΛΙΣΤΕΣ!$C$2:$C$13)))</f>
        <v>Απρίλιος</v>
      </c>
      <c r="E144" s="6">
        <f t="shared" ca="1" si="10"/>
        <v>260</v>
      </c>
      <c r="F144" s="6">
        <f t="shared" ca="1" si="11"/>
        <v>93</v>
      </c>
      <c r="G144" s="10">
        <f t="shared" ca="1" si="8"/>
        <v>24180</v>
      </c>
      <c r="H144" s="9">
        <f t="shared" ca="1" si="9"/>
        <v>24180</v>
      </c>
    </row>
    <row r="145" spans="1:8" x14ac:dyDescent="0.3">
      <c r="A145" s="6">
        <v>144</v>
      </c>
      <c r="B145" t="str" cm="1">
        <f t="array" aca="1" ref="B145" ca="1">INDEX(ΛΙΣΤΕΣ!$A$2:$A$8, RANDBETWEEN(1, COUNTA(ΛΙΣΤΕΣ!$A$2:$A$8)))</f>
        <v>Προϊον Α</v>
      </c>
      <c r="C145" t="str" cm="1">
        <f t="array" aca="1" ref="C145" ca="1">INDEX(ΛΙΣΤΕΣ!$B$2:$B$5, RANDBETWEEN(1, COUNTA(ΛΙΣΤΕΣ!$B$2:$B$5)))</f>
        <v>Λασιθίου</v>
      </c>
      <c r="D145" t="str" cm="1">
        <f t="array" aca="1" ref="D145" ca="1">INDEX(ΛΙΣΤΕΣ!$C$2:$C$13, RANDBETWEEN(1, COUNTA(ΛΙΣΤΕΣ!$C$2:$C$13)))</f>
        <v>Ιούλιος</v>
      </c>
      <c r="E145" s="6">
        <f t="shared" ca="1" si="10"/>
        <v>253</v>
      </c>
      <c r="F145" s="6">
        <f t="shared" ca="1" si="11"/>
        <v>141</v>
      </c>
      <c r="G145" s="10">
        <f t="shared" ca="1" si="8"/>
        <v>35673</v>
      </c>
      <c r="H145" s="9">
        <f t="shared" ca="1" si="9"/>
        <v>35673</v>
      </c>
    </row>
    <row r="146" spans="1:8" x14ac:dyDescent="0.3">
      <c r="A146" s="6">
        <v>145</v>
      </c>
      <c r="B146" t="str" cm="1">
        <f t="array" aca="1" ref="B146" ca="1">INDEX(ΛΙΣΤΕΣ!$A$2:$A$8, RANDBETWEEN(1, COUNTA(ΛΙΣΤΕΣ!$A$2:$A$8)))</f>
        <v>Υπηρεσία Α</v>
      </c>
      <c r="C146" t="str" cm="1">
        <f t="array" aca="1" ref="C146" ca="1">INDEX(ΛΙΣΤΕΣ!$B$2:$B$5, RANDBETWEEN(1, COUNTA(ΛΙΣΤΕΣ!$B$2:$B$5)))</f>
        <v>Λασιθίου</v>
      </c>
      <c r="D146" t="str" cm="1">
        <f t="array" aca="1" ref="D146" ca="1">INDEX(ΛΙΣΤΕΣ!$C$2:$C$13, RANDBETWEEN(1, COUNTA(ΛΙΣΤΕΣ!$C$2:$C$13)))</f>
        <v>Σεπτέμβριος</v>
      </c>
      <c r="E146" s="6">
        <f t="shared" ca="1" si="10"/>
        <v>163</v>
      </c>
      <c r="F146" s="6">
        <f t="shared" ca="1" si="11"/>
        <v>98</v>
      </c>
      <c r="G146" s="10">
        <f t="shared" ca="1" si="8"/>
        <v>15974</v>
      </c>
      <c r="H146" s="9">
        <f t="shared" ca="1" si="9"/>
        <v>15974</v>
      </c>
    </row>
    <row r="147" spans="1:8" x14ac:dyDescent="0.3">
      <c r="A147" s="6">
        <v>146</v>
      </c>
      <c r="B147" t="str" cm="1">
        <f t="array" aca="1" ref="B147" ca="1">INDEX(ΛΙΣΤΕΣ!$A$2:$A$8, RANDBETWEEN(1, COUNTA(ΛΙΣΤΕΣ!$A$2:$A$8)))</f>
        <v>Υπηρεσία Β</v>
      </c>
      <c r="C147" t="str" cm="1">
        <f t="array" aca="1" ref="C147" ca="1">INDEX(ΛΙΣΤΕΣ!$B$2:$B$5, RANDBETWEEN(1, COUNTA(ΛΙΣΤΕΣ!$B$2:$B$5)))</f>
        <v>Ηρακλείου</v>
      </c>
      <c r="D147" t="str" cm="1">
        <f t="array" aca="1" ref="D147" ca="1">INDEX(ΛΙΣΤΕΣ!$C$2:$C$13, RANDBETWEEN(1, COUNTA(ΛΙΣΤΕΣ!$C$2:$C$13)))</f>
        <v>Δεκέμβριος</v>
      </c>
      <c r="E147" s="6">
        <f t="shared" ca="1" si="10"/>
        <v>478</v>
      </c>
      <c r="F147" s="6">
        <f t="shared" ca="1" si="11"/>
        <v>136</v>
      </c>
      <c r="G147" s="10">
        <f t="shared" ca="1" si="8"/>
        <v>65008</v>
      </c>
      <c r="H147" s="9">
        <f t="shared" ca="1" si="9"/>
        <v>74759.199999999997</v>
      </c>
    </row>
    <row r="148" spans="1:8" x14ac:dyDescent="0.3">
      <c r="A148" s="6">
        <v>147</v>
      </c>
      <c r="B148" t="str" cm="1">
        <f t="array" aca="1" ref="B148" ca="1">INDEX(ΛΙΣΤΕΣ!$A$2:$A$8, RANDBETWEEN(1, COUNTA(ΛΙΣΤΕΣ!$A$2:$A$8)))</f>
        <v>Υπηρεσία Γ</v>
      </c>
      <c r="C148" t="str" cm="1">
        <f t="array" aca="1" ref="C148" ca="1">INDEX(ΛΙΣΤΕΣ!$B$2:$B$5, RANDBETWEEN(1, COUNTA(ΛΙΣΤΕΣ!$B$2:$B$5)))</f>
        <v>Λασιθίου</v>
      </c>
      <c r="D148" t="str" cm="1">
        <f t="array" aca="1" ref="D148" ca="1">INDEX(ΛΙΣΤΕΣ!$C$2:$C$13, RANDBETWEEN(1, COUNTA(ΛΙΣΤΕΣ!$C$2:$C$13)))</f>
        <v>Νοέμβριος</v>
      </c>
      <c r="E148" s="6">
        <f t="shared" ca="1" si="10"/>
        <v>258</v>
      </c>
      <c r="F148" s="6">
        <f t="shared" ca="1" si="11"/>
        <v>18</v>
      </c>
      <c r="G148" s="10">
        <f t="shared" ca="1" si="8"/>
        <v>4644</v>
      </c>
      <c r="H148" s="9">
        <f t="shared" ca="1" si="9"/>
        <v>5340.5999999999995</v>
      </c>
    </row>
    <row r="149" spans="1:8" x14ac:dyDescent="0.3">
      <c r="A149" s="6">
        <v>148</v>
      </c>
      <c r="B149" t="str" cm="1">
        <f t="array" aca="1" ref="B149" ca="1">INDEX(ΛΙΣΤΕΣ!$A$2:$A$8, RANDBETWEEN(1, COUNTA(ΛΙΣΤΕΣ!$A$2:$A$8)))</f>
        <v>Προϊον Α</v>
      </c>
      <c r="C149" t="str" cm="1">
        <f t="array" aca="1" ref="C149" ca="1">INDEX(ΛΙΣΤΕΣ!$B$2:$B$5, RANDBETWEEN(1, COUNTA(ΛΙΣΤΕΣ!$B$2:$B$5)))</f>
        <v>Ηρακλείου</v>
      </c>
      <c r="D149" t="str" cm="1">
        <f t="array" aca="1" ref="D149" ca="1">INDEX(ΛΙΣΤΕΣ!$C$2:$C$13, RANDBETWEEN(1, COUNTA(ΛΙΣΤΕΣ!$C$2:$C$13)))</f>
        <v>Ιανουάριος</v>
      </c>
      <c r="E149" s="6">
        <f t="shared" ca="1" si="10"/>
        <v>243</v>
      </c>
      <c r="F149" s="6">
        <f t="shared" ca="1" si="11"/>
        <v>8</v>
      </c>
      <c r="G149" s="10">
        <f t="shared" ca="1" si="8"/>
        <v>1944</v>
      </c>
      <c r="H149" s="9">
        <f t="shared" ca="1" si="9"/>
        <v>1944</v>
      </c>
    </row>
    <row r="150" spans="1:8" x14ac:dyDescent="0.3">
      <c r="A150" s="6">
        <v>149</v>
      </c>
      <c r="B150" t="str" cm="1">
        <f t="array" aca="1" ref="B150" ca="1">INDEX(ΛΙΣΤΕΣ!$A$2:$A$8, RANDBETWEEN(1, COUNTA(ΛΙΣΤΕΣ!$A$2:$A$8)))</f>
        <v>Υπηρεσία Γ</v>
      </c>
      <c r="C150" t="str" cm="1">
        <f t="array" aca="1" ref="C150" ca="1">INDEX(ΛΙΣΤΕΣ!$B$2:$B$5, RANDBETWEEN(1, COUNTA(ΛΙΣΤΕΣ!$B$2:$B$5)))</f>
        <v>Ηρακλείου</v>
      </c>
      <c r="D150" t="str" cm="1">
        <f t="array" aca="1" ref="D150" ca="1">INDEX(ΛΙΣΤΕΣ!$C$2:$C$13, RANDBETWEEN(1, COUNTA(ΛΙΣΤΕΣ!$C$2:$C$13)))</f>
        <v>Οκτώβριος</v>
      </c>
      <c r="E150" s="6">
        <f t="shared" ca="1" si="10"/>
        <v>23</v>
      </c>
      <c r="F150" s="6">
        <f t="shared" ca="1" si="11"/>
        <v>141</v>
      </c>
      <c r="G150" s="10">
        <f t="shared" ca="1" si="8"/>
        <v>3243</v>
      </c>
      <c r="H150" s="9">
        <f t="shared" ca="1" si="9"/>
        <v>3729.45</v>
      </c>
    </row>
    <row r="151" spans="1:8" x14ac:dyDescent="0.3">
      <c r="A151" s="6">
        <v>150</v>
      </c>
      <c r="B151" t="str" cm="1">
        <f t="array" aca="1" ref="B151" ca="1">INDEX(ΛΙΣΤΕΣ!$A$2:$A$8, RANDBETWEEN(1, COUNTA(ΛΙΣΤΕΣ!$A$2:$A$8)))</f>
        <v>Προϊον Γ</v>
      </c>
      <c r="C151" t="str" cm="1">
        <f t="array" aca="1" ref="C151" ca="1">INDEX(ΛΙΣΤΕΣ!$B$2:$B$5, RANDBETWEEN(1, COUNTA(ΛΙΣΤΕΣ!$B$2:$B$5)))</f>
        <v>Λασιθίου</v>
      </c>
      <c r="D151" t="str" cm="1">
        <f t="array" aca="1" ref="D151" ca="1">INDEX(ΛΙΣΤΕΣ!$C$2:$C$13, RANDBETWEEN(1, COUNTA(ΛΙΣΤΕΣ!$C$2:$C$13)))</f>
        <v>Απρίλιος</v>
      </c>
      <c r="E151" s="6">
        <f t="shared" ca="1" si="10"/>
        <v>105</v>
      </c>
      <c r="F151" s="6">
        <f t="shared" ca="1" si="11"/>
        <v>59</v>
      </c>
      <c r="G151" s="10">
        <f t="shared" ca="1" si="8"/>
        <v>6195</v>
      </c>
      <c r="H151" s="9">
        <f t="shared" ca="1" si="9"/>
        <v>7124.2499999999991</v>
      </c>
    </row>
  </sheetData>
  <conditionalFormatting sqref="G1:G151">
    <cfRule type="cellIs" dxfId="1" priority="2" operator="lessThan">
      <formula>30000</formula>
    </cfRule>
  </conditionalFormatting>
  <conditionalFormatting sqref="G2:G151">
    <cfRule type="cellIs" dxfId="0" priority="1" operator="greaterThan">
      <formula>30000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A4B7-348F-432E-9110-AE6DC7D56C17}">
  <dimension ref="A1:R54"/>
  <sheetViews>
    <sheetView tabSelected="1" topLeftCell="A30" workbookViewId="0">
      <selection activeCell="H31" sqref="H31"/>
    </sheetView>
  </sheetViews>
  <sheetFormatPr defaultRowHeight="14.4" x14ac:dyDescent="0.3"/>
  <cols>
    <col min="1" max="1" width="12.5546875" bestFit="1" customWidth="1"/>
    <col min="2" max="2" width="23.21875" bestFit="1" customWidth="1"/>
    <col min="3" max="3" width="24.21875" customWidth="1"/>
    <col min="4" max="4" width="30" bestFit="1" customWidth="1"/>
    <col min="5" max="5" width="22.33203125" customWidth="1"/>
    <col min="6" max="6" width="12.88671875" customWidth="1"/>
    <col min="7" max="7" width="12.5546875" bestFit="1" customWidth="1"/>
    <col min="8" max="8" width="26.5546875" bestFit="1" customWidth="1"/>
    <col min="9" max="9" width="23.33203125" bestFit="1" customWidth="1"/>
    <col min="10" max="10" width="10.88671875" customWidth="1"/>
    <col min="11" max="11" width="9.6640625" customWidth="1"/>
    <col min="12" max="12" width="23.77734375" customWidth="1"/>
    <col min="13" max="13" width="25" customWidth="1"/>
    <col min="14" max="14" width="11.77734375" customWidth="1"/>
    <col min="15" max="15" width="10.44140625" customWidth="1"/>
    <col min="16" max="16" width="7.109375" customWidth="1"/>
    <col min="17" max="70" width="3" bestFit="1" customWidth="1"/>
    <col min="71" max="106" width="4" bestFit="1" customWidth="1"/>
    <col min="107" max="107" width="12" bestFit="1" customWidth="1"/>
    <col min="108" max="152" width="11.88671875" bestFit="1" customWidth="1"/>
    <col min="153" max="153" width="12.109375" bestFit="1" customWidth="1"/>
  </cols>
  <sheetData>
    <row r="1" spans="1:18" x14ac:dyDescent="0.3">
      <c r="A1" s="11"/>
    </row>
    <row r="6" spans="1:18" x14ac:dyDescent="0.3">
      <c r="A6" s="13" t="s">
        <v>39</v>
      </c>
      <c r="B6" t="s">
        <v>41</v>
      </c>
    </row>
    <row r="7" spans="1:18" x14ac:dyDescent="0.3">
      <c r="A7" s="14" t="s">
        <v>19</v>
      </c>
      <c r="B7" s="9">
        <v>553817</v>
      </c>
    </row>
    <row r="8" spans="1:18" x14ac:dyDescent="0.3">
      <c r="A8" s="14" t="s">
        <v>20</v>
      </c>
      <c r="B8" s="9">
        <v>303596</v>
      </c>
      <c r="N8" s="14"/>
      <c r="O8" s="9"/>
      <c r="P8" s="15"/>
      <c r="Q8" s="14"/>
      <c r="R8" s="9"/>
    </row>
    <row r="9" spans="1:18" x14ac:dyDescent="0.3">
      <c r="A9" s="14" t="s">
        <v>21</v>
      </c>
      <c r="B9" s="9">
        <v>514390</v>
      </c>
      <c r="N9" s="14"/>
      <c r="O9" s="9"/>
      <c r="P9" s="15"/>
      <c r="Q9" s="14"/>
      <c r="R9" s="9"/>
    </row>
    <row r="10" spans="1:18" x14ac:dyDescent="0.3">
      <c r="A10" s="14" t="s">
        <v>25</v>
      </c>
      <c r="B10" s="9">
        <v>266612</v>
      </c>
      <c r="N10" s="14"/>
      <c r="O10" s="9"/>
      <c r="P10" s="15"/>
      <c r="Q10" s="14"/>
      <c r="R10" s="9"/>
    </row>
    <row r="11" spans="1:18" x14ac:dyDescent="0.3">
      <c r="A11" s="14" t="s">
        <v>22</v>
      </c>
      <c r="B11" s="9">
        <v>456440</v>
      </c>
      <c r="N11" s="14"/>
      <c r="O11" s="9"/>
      <c r="P11" s="15"/>
      <c r="Q11" s="14"/>
      <c r="R11" s="9"/>
    </row>
    <row r="12" spans="1:18" x14ac:dyDescent="0.3">
      <c r="A12" s="14" t="s">
        <v>23</v>
      </c>
      <c r="B12" s="9">
        <v>347393</v>
      </c>
      <c r="N12" s="14"/>
      <c r="O12" s="9"/>
      <c r="P12" s="15"/>
      <c r="Q12" s="14"/>
      <c r="R12" s="9"/>
    </row>
    <row r="13" spans="1:18" x14ac:dyDescent="0.3">
      <c r="A13" s="14" t="s">
        <v>24</v>
      </c>
      <c r="B13" s="9">
        <v>351172</v>
      </c>
      <c r="N13" s="14"/>
      <c r="O13" s="9"/>
      <c r="P13" s="15"/>
      <c r="Q13" s="14"/>
      <c r="R13" s="9"/>
    </row>
    <row r="14" spans="1:18" x14ac:dyDescent="0.3">
      <c r="A14" s="14" t="s">
        <v>40</v>
      </c>
      <c r="B14" s="9">
        <v>2793420</v>
      </c>
      <c r="N14" s="14"/>
      <c r="O14" s="9"/>
      <c r="P14" s="15"/>
      <c r="Q14" s="14"/>
      <c r="R14" s="9"/>
    </row>
    <row r="15" spans="1:18" x14ac:dyDescent="0.3">
      <c r="N15" s="14"/>
      <c r="O15" s="9"/>
      <c r="P15" s="15"/>
      <c r="Q15" s="14"/>
      <c r="R15" s="9"/>
    </row>
    <row r="16" spans="1:18" x14ac:dyDescent="0.3">
      <c r="N16" s="14"/>
      <c r="O16" s="9"/>
      <c r="P16" s="15"/>
      <c r="Q16" s="14"/>
      <c r="R16" s="9"/>
    </row>
    <row r="17" spans="1:18" x14ac:dyDescent="0.3">
      <c r="N17" s="14"/>
      <c r="O17" s="9"/>
      <c r="P17" s="15"/>
      <c r="Q17" s="14"/>
      <c r="R17" s="9"/>
    </row>
    <row r="18" spans="1:18" x14ac:dyDescent="0.3">
      <c r="N18" s="14"/>
      <c r="O18" s="9"/>
      <c r="P18" s="15"/>
      <c r="Q18" s="14"/>
      <c r="R18" s="9"/>
    </row>
    <row r="19" spans="1:18" x14ac:dyDescent="0.3">
      <c r="N19" s="14"/>
      <c r="O19" s="9"/>
      <c r="P19" s="15"/>
      <c r="Q19" s="14"/>
      <c r="R19" s="9"/>
    </row>
    <row r="20" spans="1:18" x14ac:dyDescent="0.3">
      <c r="N20" s="14"/>
      <c r="O20" s="9"/>
      <c r="P20" s="15"/>
      <c r="Q20" s="14"/>
      <c r="R20" s="9"/>
    </row>
    <row r="24" spans="1:18" x14ac:dyDescent="0.3">
      <c r="A24" s="13" t="s">
        <v>39</v>
      </c>
      <c r="B24" t="s">
        <v>42</v>
      </c>
    </row>
    <row r="25" spans="1:18" x14ac:dyDescent="0.3">
      <c r="A25" s="14" t="s">
        <v>19</v>
      </c>
      <c r="B25" s="15">
        <v>93.63333333333334</v>
      </c>
      <c r="D25" s="13" t="s">
        <v>39</v>
      </c>
      <c r="E25" t="s">
        <v>42</v>
      </c>
    </row>
    <row r="26" spans="1:18" x14ac:dyDescent="0.3">
      <c r="A26" s="14" t="s">
        <v>20</v>
      </c>
      <c r="B26" s="15">
        <v>60.18181818181818</v>
      </c>
      <c r="D26" s="14" t="s">
        <v>17</v>
      </c>
      <c r="E26" s="15">
        <v>72.555555555555557</v>
      </c>
    </row>
    <row r="27" spans="1:18" x14ac:dyDescent="0.3">
      <c r="A27" s="14" t="s">
        <v>21</v>
      </c>
      <c r="B27" s="15">
        <v>77.545454545454547</v>
      </c>
      <c r="D27" s="14" t="s">
        <v>26</v>
      </c>
      <c r="E27" s="15">
        <v>84.093023255813947</v>
      </c>
    </row>
    <row r="28" spans="1:18" x14ac:dyDescent="0.3">
      <c r="A28" s="14" t="s">
        <v>25</v>
      </c>
      <c r="B28" s="15">
        <v>68.058823529411768</v>
      </c>
      <c r="D28" s="14" t="s">
        <v>16</v>
      </c>
      <c r="E28" s="15">
        <v>87.461538461538467</v>
      </c>
    </row>
    <row r="29" spans="1:18" x14ac:dyDescent="0.3">
      <c r="A29" s="14" t="s">
        <v>22</v>
      </c>
      <c r="B29" s="15">
        <v>77.555555555555557</v>
      </c>
      <c r="D29" s="14" t="s">
        <v>15</v>
      </c>
      <c r="E29" s="15">
        <v>65.5625</v>
      </c>
    </row>
    <row r="30" spans="1:18" x14ac:dyDescent="0.3">
      <c r="A30" s="14" t="s">
        <v>23</v>
      </c>
      <c r="B30" s="15">
        <v>90</v>
      </c>
      <c r="D30" s="14" t="s">
        <v>40</v>
      </c>
      <c r="E30" s="15">
        <v>78.24666666666667</v>
      </c>
    </row>
    <row r="31" spans="1:18" x14ac:dyDescent="0.3">
      <c r="A31" s="14" t="s">
        <v>24</v>
      </c>
      <c r="B31" s="15">
        <v>76.294117647058826</v>
      </c>
    </row>
    <row r="32" spans="1:18" x14ac:dyDescent="0.3">
      <c r="A32" s="14" t="s">
        <v>40</v>
      </c>
      <c r="B32" s="15">
        <v>78.24666666666667</v>
      </c>
    </row>
    <row r="41" spans="1:3" x14ac:dyDescent="0.3">
      <c r="A41" s="13" t="s">
        <v>39</v>
      </c>
      <c r="B41" t="s">
        <v>43</v>
      </c>
      <c r="C41" t="s">
        <v>44</v>
      </c>
    </row>
    <row r="42" spans="1:3" x14ac:dyDescent="0.3">
      <c r="A42" s="14" t="s">
        <v>4</v>
      </c>
      <c r="B42" s="9">
        <v>63900</v>
      </c>
      <c r="C42" s="15">
        <v>14</v>
      </c>
    </row>
    <row r="43" spans="1:3" x14ac:dyDescent="0.3">
      <c r="A43" s="14" t="s">
        <v>8</v>
      </c>
      <c r="B43" s="9">
        <v>58110</v>
      </c>
      <c r="C43" s="15">
        <v>14</v>
      </c>
    </row>
    <row r="44" spans="1:3" x14ac:dyDescent="0.3">
      <c r="A44" s="14" t="s">
        <v>12</v>
      </c>
      <c r="B44" s="9">
        <v>49654</v>
      </c>
      <c r="C44" s="15">
        <v>6</v>
      </c>
    </row>
    <row r="45" spans="1:3" x14ac:dyDescent="0.3">
      <c r="A45" s="14" t="s">
        <v>1</v>
      </c>
      <c r="B45" s="9">
        <v>47888</v>
      </c>
      <c r="C45" s="15">
        <v>15</v>
      </c>
    </row>
    <row r="46" spans="1:3" x14ac:dyDescent="0.3">
      <c r="A46" s="14" t="s">
        <v>7</v>
      </c>
      <c r="B46" s="9">
        <v>70707</v>
      </c>
      <c r="C46" s="15">
        <v>17</v>
      </c>
    </row>
    <row r="47" spans="1:3" x14ac:dyDescent="0.3">
      <c r="A47" s="14" t="s">
        <v>6</v>
      </c>
      <c r="B47" s="9">
        <v>35040</v>
      </c>
      <c r="C47" s="15">
        <v>10</v>
      </c>
    </row>
    <row r="48" spans="1:3" x14ac:dyDescent="0.3">
      <c r="A48" s="14" t="s">
        <v>5</v>
      </c>
      <c r="B48" s="9">
        <v>45872</v>
      </c>
      <c r="C48" s="15">
        <v>12</v>
      </c>
    </row>
    <row r="49" spans="1:3" x14ac:dyDescent="0.3">
      <c r="A49" s="14" t="s">
        <v>3</v>
      </c>
      <c r="B49" s="9">
        <v>54120</v>
      </c>
      <c r="C49" s="15">
        <v>10</v>
      </c>
    </row>
    <row r="50" spans="1:3" x14ac:dyDescent="0.3">
      <c r="A50" s="14" t="s">
        <v>11</v>
      </c>
      <c r="B50" s="9">
        <v>35112</v>
      </c>
      <c r="C50" s="15">
        <v>8</v>
      </c>
    </row>
    <row r="51" spans="1:3" x14ac:dyDescent="0.3">
      <c r="A51" s="14" t="s">
        <v>10</v>
      </c>
      <c r="B51" s="9">
        <v>63510</v>
      </c>
      <c r="C51" s="15">
        <v>13</v>
      </c>
    </row>
    <row r="52" spans="1:3" x14ac:dyDescent="0.3">
      <c r="A52" s="14" t="s">
        <v>9</v>
      </c>
      <c r="B52" s="9">
        <v>52920</v>
      </c>
      <c r="C52" s="15">
        <v>15</v>
      </c>
    </row>
    <row r="53" spans="1:3" x14ac:dyDescent="0.3">
      <c r="A53" s="14" t="s">
        <v>2</v>
      </c>
      <c r="B53" s="9">
        <v>51620</v>
      </c>
      <c r="C53" s="15">
        <v>16</v>
      </c>
    </row>
    <row r="54" spans="1:3" x14ac:dyDescent="0.3">
      <c r="A54" s="14" t="s">
        <v>40</v>
      </c>
      <c r="B54" s="9">
        <v>70707</v>
      </c>
      <c r="C54" s="15">
        <v>150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ΛΙΣΤΕΣ</vt:lpstr>
      <vt:lpstr>ΔΕΔΟΜΕΝΑ</vt:lpstr>
      <vt:lpstr>ΑΝΑΛΥΣΗ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Andrianis</dc:creator>
  <cp:lastModifiedBy>Niko spliiit</cp:lastModifiedBy>
  <dcterms:created xsi:type="dcterms:W3CDTF">2015-06-05T18:19:34Z</dcterms:created>
  <dcterms:modified xsi:type="dcterms:W3CDTF">2026-01-10T18:07:01Z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2026-01-09T14:55:33Z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daad9928-768e-4703-b7a6-9975c33818e2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