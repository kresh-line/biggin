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1.bin" ContentType="application/vnd.openxmlformats-officedocument.oleObject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embeddings/oleObject2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Documents/Custom Office Templates/"/>
    </mc:Choice>
  </mc:AlternateContent>
  <xr:revisionPtr revIDLastSave="135" documentId="8_{A8087985-2FA5-49D5-91A6-AAF93EB3A4C3}" xr6:coauthVersionLast="47" xr6:coauthVersionMax="47" xr10:uidLastSave="{4F39D0F6-5BAC-4A01-A784-879E13FCE097}"/>
  <bookViews>
    <workbookView xWindow="-120" yWindow="-120" windowWidth="38640" windowHeight="21120" firstSheet="8" activeTab="13" xr2:uid="{8FBEF59E-F28C-4D02-B027-ECFAF3A80516}"/>
  </bookViews>
  <sheets>
    <sheet name="Μορφές" sheetId="22" r:id="rId1"/>
    <sheet name="Κοινές" sheetId="23" r:id="rId2"/>
    <sheet name="INT" sheetId="28" r:id="rId3"/>
    <sheet name="Κειμένου" sheetId="25" r:id="rId4"/>
    <sheet name="Ημερομηνίας-ώρας" sheetId="26" r:id="rId5"/>
    <sheet name="Διάφορες" sheetId="10" r:id="rId6"/>
    <sheet name="Άσκηση" sheetId="27" r:id="rId7"/>
    <sheet name="Λογική συνθήκη" sheetId="14" r:id="rId8"/>
    <sheet name="ΛΟΓΙΚΕΣ" sheetId="31" r:id="rId9"/>
    <sheet name="ΘΕΩΡΙΑ IF" sheetId="8" r:id="rId10"/>
    <sheet name="ΘΕΩΡΙΑ IF ΙΙ" sheetId="9" r:id="rId11"/>
    <sheet name="απλή IF" sheetId="15" r:id="rId12"/>
    <sheet name="ΤΜΗΜΑ" sheetId="3" r:id="rId13"/>
    <sheet name="ΚΑΡΤΕΛΑ" sheetId="2" r:id="rId14"/>
    <sheet name="Πάσχα" sheetId="5" r:id="rId15"/>
    <sheet name="IF μέσα σε IF" sheetId="17" r:id="rId16"/>
    <sheet name="SLEAGUE" sheetId="1" r:id="rId17"/>
    <sheet name="ΛΟΤΤΟ" sheetId="4" r:id="rId18"/>
    <sheet name="VLOOKUP" sheetId="18" r:id="rId19"/>
    <sheet name="VLOOKUP 1" sheetId="19" r:id="rId20"/>
    <sheet name="VLOOKUP 2" sheetId="20" r:id="rId21"/>
    <sheet name="Date&amp;Time" sheetId="7" r:id="rId22"/>
    <sheet name="ΑΣΤΕΡΙ" sheetId="6" r:id="rId23"/>
    <sheet name="Εισαγωγή" sheetId="11" r:id="rId24"/>
    <sheet name="θερμιδομετρητής" sheetId="12" r:id="rId25"/>
  </sheets>
  <definedNames>
    <definedName name="_xlnm._FilterDatabase" localSheetId="24" hidden="1">θερμιδομετρητής!$A$2:$F$186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5" l="1"/>
  <c r="D11" i="15"/>
  <c r="D10" i="15"/>
  <c r="D7" i="15"/>
  <c r="D6" i="15"/>
  <c r="G32" i="9"/>
  <c r="H30" i="8"/>
  <c r="H31" i="8"/>
  <c r="H32" i="8"/>
  <c r="H33" i="8"/>
  <c r="H34" i="8"/>
  <c r="H29" i="8"/>
  <c r="G30" i="8"/>
  <c r="G31" i="8"/>
  <c r="G32" i="8"/>
  <c r="G33" i="8"/>
  <c r="G34" i="8"/>
  <c r="G29" i="8"/>
  <c r="E13" i="31"/>
  <c r="E14" i="31"/>
  <c r="E15" i="31"/>
  <c r="E12" i="31"/>
  <c r="D13" i="31"/>
  <c r="D14" i="31"/>
  <c r="D15" i="31"/>
  <c r="D12" i="31"/>
  <c r="C13" i="31"/>
  <c r="C14" i="31"/>
  <c r="C15" i="31"/>
  <c r="C12" i="31"/>
  <c r="E4" i="31"/>
  <c r="E5" i="31"/>
  <c r="E6" i="31"/>
  <c r="E3" i="31"/>
  <c r="D4" i="31"/>
  <c r="D5" i="31"/>
  <c r="D6" i="31"/>
  <c r="D3" i="31"/>
  <c r="C4" i="31"/>
  <c r="C5" i="31"/>
  <c r="C6" i="31"/>
  <c r="C3" i="31"/>
  <c r="D9" i="14"/>
  <c r="D8" i="14"/>
  <c r="D7" i="14"/>
  <c r="D6" i="14"/>
  <c r="B4" i="27"/>
  <c r="C5" i="27"/>
  <c r="C6" i="27"/>
  <c r="C7" i="27"/>
  <c r="C8" i="27"/>
  <c r="C9" i="27"/>
  <c r="H14" i="10"/>
  <c r="H13" i="10"/>
  <c r="H12" i="10"/>
  <c r="H11" i="10"/>
  <c r="H10" i="10"/>
  <c r="H9" i="10"/>
  <c r="H8" i="10"/>
  <c r="B2" i="26"/>
  <c r="A2" i="26"/>
  <c r="B7" i="25"/>
  <c r="B8" i="25"/>
  <c r="B9" i="25"/>
  <c r="B6" i="25"/>
  <c r="G2" i="25"/>
  <c r="F2" i="25"/>
  <c r="E2" i="25"/>
  <c r="D2" i="25"/>
  <c r="C2" i="25"/>
  <c r="B2" i="25"/>
  <c r="E10" i="23"/>
  <c r="D10" i="23"/>
  <c r="C10" i="23"/>
  <c r="B10" i="23"/>
  <c r="A10" i="23"/>
  <c r="M2" i="28"/>
  <c r="C3" i="28"/>
  <c r="C4" i="28"/>
  <c r="C5" i="28"/>
  <c r="C6" i="28"/>
  <c r="C7" i="28"/>
  <c r="C8" i="28"/>
  <c r="C9" i="28"/>
  <c r="C10" i="28"/>
  <c r="C11" i="28"/>
  <c r="C12" i="28"/>
  <c r="C14" i="28"/>
  <c r="C2" i="28"/>
  <c r="E10" i="7"/>
  <c r="I32" i="9"/>
  <c r="I40" i="9" s="1"/>
  <c r="G33" i="9"/>
  <c r="I33" i="9" s="1"/>
  <c r="G34" i="9"/>
  <c r="I34" i="9" s="1"/>
  <c r="G38" i="9"/>
  <c r="I38" i="9" s="1"/>
  <c r="E32" i="9"/>
  <c r="E33" i="9"/>
  <c r="E34" i="9"/>
  <c r="E35" i="9"/>
  <c r="G35" i="9" s="1"/>
  <c r="I35" i="9" s="1"/>
  <c r="E36" i="9"/>
  <c r="G36" i="9" s="1"/>
  <c r="I36" i="9" s="1"/>
  <c r="E37" i="9"/>
  <c r="G37" i="9" s="1"/>
  <c r="I37" i="9" s="1"/>
  <c r="E38" i="9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C5" i="4"/>
  <c r="E29" i="8"/>
  <c r="F29" i="8"/>
  <c r="E30" i="8"/>
  <c r="F30" i="8" s="1"/>
  <c r="E31" i="8"/>
  <c r="F31" i="8"/>
  <c r="E32" i="8"/>
  <c r="F32" i="8"/>
  <c r="E33" i="8"/>
  <c r="F33" i="8"/>
  <c r="E34" i="8"/>
  <c r="F34" i="8" s="1"/>
  <c r="B10" i="27"/>
  <c r="B12" i="27" s="1"/>
  <c r="C12" i="27" s="1"/>
  <c r="C4" i="27"/>
  <c r="C10" i="27" l="1"/>
  <c r="B14" i="27"/>
  <c r="C14" i="27" s="1"/>
  <c r="B13" i="27"/>
  <c r="C13" i="27" s="1"/>
</calcChain>
</file>

<file path=xl/sharedStrings.xml><?xml version="1.0" encoding="utf-8"?>
<sst xmlns="http://schemas.openxmlformats.org/spreadsheetml/2006/main" count="1107" uniqueCount="814">
  <si>
    <t>ΠΡΩΤΑΘΛΗΜΑ ΠΟΔΟΣΦΑΙΡΟΥ Α' ΕΘΝΙΚΗΣ</t>
  </si>
  <si>
    <t>ΕΝΤΟΣ</t>
  </si>
  <si>
    <t>ΣΚΟΡ</t>
  </si>
  <si>
    <t>ΝΙΚΕΣ/ΗΤΤΕΣ/ΙΣΟΠΑΛΙΕΣ</t>
  </si>
  <si>
    <t>ΝΙΚΕΣ</t>
  </si>
  <si>
    <t>ΙΣΟΠΑΛΙΕΣ</t>
  </si>
  <si>
    <t>ΗΤΤΕΣ</t>
  </si>
  <si>
    <t>ΑΕΚ</t>
  </si>
  <si>
    <t>ΟΣΦΠ</t>
  </si>
  <si>
    <t>ΠΑΟ</t>
  </si>
  <si>
    <t>ΟΦΗ</t>
  </si>
  <si>
    <t>ΠΑΟΚ</t>
  </si>
  <si>
    <t>ΞΑΝΘΗ</t>
  </si>
  <si>
    <t>ΕΚΤΟΣ</t>
  </si>
  <si>
    <t>Ν</t>
  </si>
  <si>
    <t>Ι</t>
  </si>
  <si>
    <t>Η</t>
  </si>
  <si>
    <t>ΒΑΘΜΟΛΟΓΙΑ</t>
  </si>
  <si>
    <t>(Ν=3, Ι=1, Η=0)</t>
  </si>
  <si>
    <t>ΗΛΕΚΤΡΟΝΙΚΟΣ ΕΛΕΓΧΟΣ ΕΠΙΔΟΣΗΣ ΜΑΘΗΤΗ</t>
  </si>
  <si>
    <t>ΤΑΞΗ  Α'</t>
  </si>
  <si>
    <t>ΘΡΗΣΚΕΥΤΙΚΑ</t>
  </si>
  <si>
    <t>ΑΡΧΑΙΑ ΕΛΛΗΝΙΚΗ ΓΡΑΜΜΑΤΕΙΑ</t>
  </si>
  <si>
    <t>ΝΕΟΕΛΛΗΝΙΚΗ ΓΛΩΣΣΑ &amp; ΓΡΑΜΜΑΤΕΙΑ</t>
  </si>
  <si>
    <t>ΙΣΤΟΡΙΑ</t>
  </si>
  <si>
    <t>ΞΕΝΗ ΓΛΩΣΣΑ Α'</t>
  </si>
  <si>
    <t>ΞΕΝΗ ΓΛΩΣΣΑ Β'</t>
  </si>
  <si>
    <t>ΜΑΘΗΜΑΤΙΚΑ</t>
  </si>
  <si>
    <t>ΒΙΟΛΟΓΙΑ Ι  ΑΝΘΡΩΠΟΛΟΓΙΑ</t>
  </si>
  <si>
    <t>ΓΕΩΓΡΑΦΙΑ</t>
  </si>
  <si>
    <t>ΦΥΣΙΚΗ ΑΓΩΓΗ</t>
  </si>
  <si>
    <t>ΜΟΥΣΙΚΗ</t>
  </si>
  <si>
    <t>ΠΛΗΡΟΦΟΡΙΚΗ ΤΕΧΝΟΛΟΓΙΑ</t>
  </si>
  <si>
    <t>ΑΠΟΥΣΙΕΣ</t>
  </si>
  <si>
    <t>ΑΡΧΑΙΑ ΑΠΟ ΜΕΤΑΦΡΑΣΗ</t>
  </si>
  <si>
    <t xml:space="preserve"> ΑΡΧΑΙΑ ΒΥΖΑΝΤΙΝΑ ΚΑΙ ΛΟΓΙΑ ΚΕΙΜΕΝΑ</t>
  </si>
  <si>
    <t>ΝΕΟΕΛΛΗΝΙΚΗ ΓΡΑΜΜΑΤΕΙΑ</t>
  </si>
  <si>
    <t>ΝΕΟΕΛΛΗΝΙΚΗ ΓΛΩΣΣΑ</t>
  </si>
  <si>
    <t>ΠΛΗΡΟΦΟΡΙΚΗ</t>
  </si>
  <si>
    <t>ΤΕΧΝΟΛΟΓΙΑ</t>
  </si>
  <si>
    <t>Α' ΤΡΙΜΗΝΟ</t>
  </si>
  <si>
    <t>Β' ΤΡΙΜΗΝΟ</t>
  </si>
  <si>
    <t>Γ' ΤΡΙΜΗΝΟ</t>
  </si>
  <si>
    <t>MO. ΤΡΙΜΗΝΩΝ</t>
  </si>
  <si>
    <t>ΕΞΕΤ. ΙΟΥΝΙΟΥ</t>
  </si>
  <si>
    <t>ΕΤΗΣΙΟΣ ΒΑΘΜΟΣ</t>
  </si>
  <si>
    <t>ΓΕΝΙΚΟΣ ΒΑΘΜΟΣ</t>
  </si>
  <si>
    <t>ΕΤΗΣΙΟ ΑΠΟΤΕΛΕΣΜΑ</t>
  </si>
  <si>
    <t>ΧΑΡΑΚΤΗ-ΡΙΣΜΟΣ</t>
  </si>
  <si>
    <t>Ο μέσος όρος του προφορικού και γραπτού βαθμού</t>
  </si>
  <si>
    <t>Αν ο "ΓΕΝ. ΒΑΘΜΟΣ" είναι μεγαλύτερος ή ίσος του 10 και οι απουσίες  &lt;=50 τότε "ΑΠΟΛΥΕΤΑΙ", αλλιώς "ΠΑΡΑΠΕΜΠΕΤΑΙ"</t>
  </si>
  <si>
    <t xml:space="preserve">ΓΕΝ. ΒΑΘΜΟΣ </t>
  </si>
  <si>
    <t>Ο συνολικός μέσος όρος όλων των μαθημάτων</t>
  </si>
  <si>
    <t>ΧΑΡΑΚΤΗΡΙΣΜΟΣ</t>
  </si>
  <si>
    <t>Αν  0&lt;=ΓΕΝ. ΒΑΘΜΟΣ&lt;=5 τότε "ΚΑΚΩΣ", αν  5&lt;ΓΕΝ. ΒΑΘΜΟΣ&lt;=10 τότε "ΑΝΕΠΑΡΚΩΣ", αν  10&lt;=ΓΕΝ. ΒΑΘΜΟΣ&lt;=13 τότε "ΣΧΕΔΟΝ ΚΑΛΑ", αν  13&lt;ΓΕΝ. ΒΑΘΜΟΣ&lt;=16 τότε "ΚΑΛΩΣ", αν  16&lt;ΓΕΝ. ΒΑΘΜΟΣ&lt;=18 τότε "ΛΙΑΝ ΚΑΛΩΣ" και αν  18&lt;ΓΕΝ. ΒΑΘΜΟΣ&lt;=20 τότε "ΑΡΙΣΤΑ"</t>
  </si>
  <si>
    <t>Α/Α</t>
  </si>
  <si>
    <t>ΟΝΟΜΑ</t>
  </si>
  <si>
    <t>ΕΠΩΝΥΜΟ</t>
  </si>
  <si>
    <t>ΦΥΛΟ</t>
  </si>
  <si>
    <t>ΒΑΘΜΟΙ</t>
  </si>
  <si>
    <t>Μ.Ο.</t>
  </si>
  <si>
    <t>ΑΠΟΤΕΛΕΣΜΑ</t>
  </si>
  <si>
    <t>ΕΛΛ. ΓΛΩΣΣΑ</t>
  </si>
  <si>
    <t>ΦΥΣΙΚΗ</t>
  </si>
  <si>
    <t>ΑΓΓΛΙΚΑ</t>
  </si>
  <si>
    <t>ΜΑΡΙΑ</t>
  </si>
  <si>
    <t>ΠΑΠΠΑ</t>
  </si>
  <si>
    <t>Κ</t>
  </si>
  <si>
    <t>ΕΛΕΝΗ</t>
  </si>
  <si>
    <t>ΒΑΣΙΛΕΙΟΥ</t>
  </si>
  <si>
    <t>ΠΕΤΡΟΣ</t>
  </si>
  <si>
    <t>ΝΙΚΟΛΑΟΥ</t>
  </si>
  <si>
    <t>Α</t>
  </si>
  <si>
    <t>ΓΙΑΝΝΗΣ</t>
  </si>
  <si>
    <t>ΔΗΜΟΥ</t>
  </si>
  <si>
    <t>ΑΝΝΑ</t>
  </si>
  <si>
    <t>ΓΑΛΙΑΚΗ</t>
  </si>
  <si>
    <t>ΒΑΣΙΛΙΚΗ</t>
  </si>
  <si>
    <t>ΝΑΝΟΥ</t>
  </si>
  <si>
    <t>ΣΤΑΤΙΣΤΙΚΑ</t>
  </si>
  <si>
    <t>ΒΑΘΜΟΙ ΑΠΟ ΤΗ ΒΑΣΗ ΚΑΙ ΠΑΝΩ:</t>
  </si>
  <si>
    <t>ΒΑΘΜΟΙ ΚΑΤΩ ΑΠΟ ΤΗ ΒΑΣΗ:</t>
  </si>
  <si>
    <t>ΑΡΙΘΜΟΣ ΜΑΘΗΤΩΝ ΠΟΥ ΠΡΟΑΓΟΝΤΑΙ:</t>
  </si>
  <si>
    <t>ΣΥΝΟΛΟ ΑΓΟΡΙΩΝ:</t>
  </si>
  <si>
    <t>ΣΥΝΟΛΟ ΚΟΡΙΤΣΙΩΝ:</t>
  </si>
  <si>
    <t>Διαγωνισμός</t>
  </si>
  <si>
    <t>Διανεμόμενο ποσό:</t>
  </si>
  <si>
    <t>ΑΠΟΤΕΛΕΣΜΑΤΑ ΔΙΑΛΟΓΗΣ - ΔΙΑΝΕΜΟΜΕΝΑ ΚΕΡΔΗ</t>
  </si>
  <si>
    <t>ΚΛΗΡΩΘΕΝΤΕΣ ΑΡΙΘΜΟΙ</t>
  </si>
  <si>
    <t>Κατηγορίες</t>
  </si>
  <si>
    <t>% Κατανομή</t>
  </si>
  <si>
    <t>Διανεμόμενα €</t>
  </si>
  <si>
    <t>Επιτυχίες</t>
  </si>
  <si>
    <t>Μερίδια €</t>
  </si>
  <si>
    <t>6άρια</t>
  </si>
  <si>
    <t>5άρια</t>
  </si>
  <si>
    <t>ΣΤΗΛΕΣ</t>
  </si>
  <si>
    <t>ΕΠΙΤΥΧΙΕΣ</t>
  </si>
  <si>
    <t>4άρια</t>
  </si>
  <si>
    <t>3άρια</t>
  </si>
  <si>
    <t>A</t>
  </si>
  <si>
    <t>B</t>
  </si>
  <si>
    <t>C</t>
  </si>
  <si>
    <t>D</t>
  </si>
  <si>
    <t>Έτος</t>
  </si>
  <si>
    <t>F</t>
  </si>
  <si>
    <t>Ημ/νία Αλγορίθμου</t>
  </si>
  <si>
    <t>Ημερομηνία Πάσχα</t>
  </si>
  <si>
    <t>Συνάρτηση REPT()</t>
  </si>
  <si>
    <t>Συναρτήσεις Date &amp; Time</t>
  </si>
  <si>
    <t>Η τρέχουσα ημερομηνία και ώρα είναι:</t>
  </si>
  <si>
    <t>συνάρτηση NOW()</t>
  </si>
  <si>
    <t>και είναι</t>
  </si>
  <si>
    <t>συνάρτηση HOUR()</t>
  </si>
  <si>
    <t>Δώσε ημερομηνία ελέγχου</t>
  </si>
  <si>
    <t>Συνάρτηση WEEKDAY()</t>
  </si>
  <si>
    <t>Ημέρα - συνάρτηση VLOOKUP()</t>
  </si>
  <si>
    <t>Ημέρες που πέρασαν - συνάρτηση DAYS360()</t>
  </si>
  <si>
    <t>Δευτέρα</t>
  </si>
  <si>
    <t>Τρίτη</t>
  </si>
  <si>
    <t>Τετάρτη</t>
  </si>
  <si>
    <t>Πέμπτη</t>
  </si>
  <si>
    <t>Παρασκευή</t>
  </si>
  <si>
    <t>Σάββατο</t>
  </si>
  <si>
    <t>Κυριακή</t>
  </si>
  <si>
    <t>ΛΟΓΙΚΕΣ ΣΥΝΑΡΤΗΣΕΙΣ</t>
  </si>
  <si>
    <t>Συνάρτηση IF</t>
  </si>
  <si>
    <t>Σύνταξη: = if ( Συνθήκη; Τιμή1; Τιμή2)</t>
  </si>
  <si>
    <t>Σχηματικά:</t>
  </si>
  <si>
    <t>Φωλιασμένη IF</t>
  </si>
  <si>
    <t>Παράδειγμα σύνταξης: = if ( Συνθήκη; Τιμή1; if (Συνθήκη2; Τιμή2; Τιμή3))</t>
  </si>
  <si>
    <t>Εφαρμογή:</t>
  </si>
  <si>
    <t>Λογαριασμοί πελατών ΔΕΗ</t>
  </si>
  <si>
    <t>Επώνυμο</t>
  </si>
  <si>
    <t>Όνομα</t>
  </si>
  <si>
    <t>Ημέρας</t>
  </si>
  <si>
    <t>Νύχτας</t>
  </si>
  <si>
    <t>Αξία Ρεύματος</t>
  </si>
  <si>
    <t>ΦΠΑ</t>
  </si>
  <si>
    <t>Έκπτωση</t>
  </si>
  <si>
    <t>Λογαριασμός</t>
  </si>
  <si>
    <t>Αθανασίου</t>
  </si>
  <si>
    <t>Γεώργιος</t>
  </si>
  <si>
    <t>Ζαχαράκη</t>
  </si>
  <si>
    <t>Μαρία</t>
  </si>
  <si>
    <t>Θωμόπουλος</t>
  </si>
  <si>
    <t>Ιωάννης</t>
  </si>
  <si>
    <t>Καρπαθάκης</t>
  </si>
  <si>
    <t>Ηλίας</t>
  </si>
  <si>
    <t>Χατζή</t>
  </si>
  <si>
    <t>Ελένη</t>
  </si>
  <si>
    <t>Τερζή</t>
  </si>
  <si>
    <t>Αθηνά</t>
  </si>
  <si>
    <t>Τιμή μονάδας ημ.</t>
  </si>
  <si>
    <t>Τιμή μονάδας νυχ.</t>
  </si>
  <si>
    <t>Ποσό έκπτωσης:</t>
  </si>
  <si>
    <t>Παρατηρήσεις</t>
  </si>
  <si>
    <t>1. Η αξία του ρεύματος ισούται με το γινόμενο των ημερησίων μονάδων επί της τιμής της ημερήσιας μονάδας, συν</t>
  </si>
  <si>
    <t xml:space="preserve">    το γινόμενο των νυχτερινών μονάδων επί της τιμής της νυχτερινής μονάδας.</t>
  </si>
  <si>
    <t>2. Το ΦΠΑ ισούται με το 18% της αξίας του ρεύματος.</t>
  </si>
  <si>
    <t>3. Έκπτωση υπάρχει εάν οι ημερήσιες μονάδες είναι κάτω των 250</t>
  </si>
  <si>
    <t>4. Ο τελικός λογαριασμός ισούται με την αξία του ρεύματος σύν το ΦΠΑ μείον την έκπτωση (500 δρχ) εάν υπάρχει.</t>
  </si>
  <si>
    <t>ΛΟΓΙΚΕΣ ΣΥΝΑΡΤΗΣΕΙΣ (συνέχεια)</t>
  </si>
  <si>
    <t>Κατάσταση Βαθμολογίας</t>
  </si>
  <si>
    <t>Μαθητές</t>
  </si>
  <si>
    <t>Μαθήματα</t>
  </si>
  <si>
    <t>Μαθηματικά</t>
  </si>
  <si>
    <t>Φυσική</t>
  </si>
  <si>
    <t>Χημεία</t>
  </si>
  <si>
    <t>Έκθεση</t>
  </si>
  <si>
    <t>Μέγ.Β.</t>
  </si>
  <si>
    <t>Μικ.Β.</t>
  </si>
  <si>
    <t>Απολ.</t>
  </si>
  <si>
    <t>Χαρακτηρισμός</t>
  </si>
  <si>
    <t>Κανάκης</t>
  </si>
  <si>
    <t>Παπαδάκης</t>
  </si>
  <si>
    <t>Αλεξίου</t>
  </si>
  <si>
    <t>Μαρκάκης</t>
  </si>
  <si>
    <t>Γεωργίου</t>
  </si>
  <si>
    <t>Πέτρου</t>
  </si>
  <si>
    <t>Μέγ.Βαθμός</t>
  </si>
  <si>
    <t>Μικ. Βαθμός</t>
  </si>
  <si>
    <t>1. Ένας μαθητής παίρνει απολυτήριο εάν ο Μ.Ο. Της βαθμολογίας του είναι μεγαλύτερος ή ίσος του 10</t>
  </si>
  <si>
    <t>2. Ο χαρακτηρισμός είναι:</t>
  </si>
  <si>
    <t>Μετεξεταστέος</t>
  </si>
  <si>
    <t>Καλός</t>
  </si>
  <si>
    <t>Άριστος</t>
  </si>
  <si>
    <t>International Express, Ltd</t>
  </si>
  <si>
    <t>Υπόλοιπα Αποθήκης</t>
  </si>
  <si>
    <t>Προϊόν</t>
  </si>
  <si>
    <t>Τιμή</t>
  </si>
  <si>
    <t>Υπόλοιπο</t>
  </si>
  <si>
    <t>Ανάγκες</t>
  </si>
  <si>
    <t>Παραγγελία</t>
  </si>
  <si>
    <t>Αγορά</t>
  </si>
  <si>
    <t>Σύνολο</t>
  </si>
  <si>
    <t>Καρότσια</t>
  </si>
  <si>
    <t>Τροχοί</t>
  </si>
  <si>
    <t>Λαβές</t>
  </si>
  <si>
    <t>Γρανάζια</t>
  </si>
  <si>
    <t>Συνδετήρες</t>
  </si>
  <si>
    <t>Καλούπια</t>
  </si>
  <si>
    <t>Πάσσαλοι</t>
  </si>
  <si>
    <t>Σύνολο:</t>
  </si>
  <si>
    <t>1. Παραγγελία γίνεται εάν οι ανάγκες ξεπερνούν το υπόλοιπο.</t>
  </si>
  <si>
    <t>2. Η αγορά σε τεμάχια είναι:</t>
  </si>
  <si>
    <t>0 εάν δεν υπάρχει παραγγελία.</t>
  </si>
  <si>
    <t xml:space="preserve">διπλάσια των αναγκών εάν υπάρχει παραγγελία </t>
  </si>
  <si>
    <t xml:space="preserve">τριπλάσια των αναγκών εάν υπάρχει παραγγελία </t>
  </si>
  <si>
    <t>ΝΑ ΣΥΜΠΛΗΡΩΘΕΙ Η ΣΤΗΛΗ ΜΕ ΤΙΣ ΚΑΤΑΛΛΗΛΕΣ ΣΥΝΑΡΤΗΣΕΙΣ</t>
  </si>
  <si>
    <t>ΔΙΑΦΟΡΕΣ ΣΥΝΑΡΤΗΣΕΙΣ EXCEL</t>
  </si>
  <si>
    <t>ΔΕΔΟΜΕΝΑ</t>
  </si>
  <si>
    <t>ΔΙΕΥΚΡΙΝΙΣΕΙΣ</t>
  </si>
  <si>
    <t>ΜΕΓΙΣΤΟΣ ΑΡΙΘΜΟΣ :</t>
  </si>
  <si>
    <t>όλων των αριθμών</t>
  </si>
  <si>
    <t>ΜΙΚΡΟΤΕΡΟΣ ΑΡΙΘΜΟΣ :</t>
  </si>
  <si>
    <t>""</t>
  </si>
  <si>
    <t>ΑΘΡΟΙΣΜΑ ΜΕΜΟΝΟΜΕΝΩΝ ΚΕΛΙΩΝ :</t>
  </si>
  <si>
    <t>των C11, C13, C19</t>
  </si>
  <si>
    <t>ΑΘΡΟΙΣΜΑ ΣΥΝΕΧΟΜΕΝΩΝ ΚΕΛΙΩΝ :</t>
  </si>
  <si>
    <t>Από το C11 έως το C19</t>
  </si>
  <si>
    <t>ΜΕΣΟΣ ΟΡΟΣ ΑΡΙΘΜΩΝ :</t>
  </si>
  <si>
    <t>ΓΙΝΟΜΕΝΟ ΜΕΜΟΝΩΜΕΝΩΝ ΚΕΛΙΩΝ :</t>
  </si>
  <si>
    <t>των C11, C13, C15</t>
  </si>
  <si>
    <t>ΜΗΚΟΣ ΨΗΦΙΩΝ ΑΡΙΘΜΟΥ :</t>
  </si>
  <si>
    <t>του C17</t>
  </si>
  <si>
    <t>ΜΗΚΟΣ ΚΕΙΜΕΝΟΥ :</t>
  </si>
  <si>
    <t>του C21</t>
  </si>
  <si>
    <t>ΑΠΌ ΜΙΚΡΑ ΣΕ ΜΕΓΑΛΑ ΓΡΑΜΜΑΤΑ :</t>
  </si>
  <si>
    <t>του C22</t>
  </si>
  <si>
    <t>Τεστ</t>
  </si>
  <si>
    <t>ΑΠΌ ΜΕΓΑΛΑ ΣΕ ΜΙΚΡΑ :</t>
  </si>
  <si>
    <t>ΤΙΠΟΤΑ</t>
  </si>
  <si>
    <t>ΗΜΕΡΟΜΗΝΙΑ ΚΑΙ ΩΡΑ :</t>
  </si>
  <si>
    <t>όχι άλλο</t>
  </si>
  <si>
    <t>ΗΜΕΡΟΜΗΝΙΑ :</t>
  </si>
  <si>
    <t>ΜΕΤΡΗΜΑ ΑΡΙΘΜΩΝ :</t>
  </si>
  <si>
    <t>όλων των κελιών</t>
  </si>
  <si>
    <t>ΤΕΤΡΑΓΩΝΙΚΗ ΡΙΖΑ :</t>
  </si>
  <si>
    <t>Θερμιδομετρητής</t>
  </si>
  <si>
    <t xml:space="preserve">Καθημερινά καταναλώνουμε διάφορες τροφές. </t>
  </si>
  <si>
    <t xml:space="preserve">Ο πίνακας που υπάρχει στο πιο κάτω φύλλο σας βοηθά </t>
  </si>
  <si>
    <t xml:space="preserve">να δείτε την ανάλυση των τροφών σε ό,τι αφορά </t>
  </si>
  <si>
    <t>1.Την ενέργεια που περιέχουν (θερμίδες)</t>
  </si>
  <si>
    <t>2.Τις πρωτεΐνες</t>
  </si>
  <si>
    <t xml:space="preserve">3.Τους υδατάνθρακες </t>
  </si>
  <si>
    <t xml:space="preserve">4.Το λίπος </t>
  </si>
  <si>
    <t xml:space="preserve">Αν χρειάζεστε πληροφορίες για άλλες τροφές </t>
  </si>
  <si>
    <t xml:space="preserve">μπορείτε να επισκεφθείτε την ιστοσελίδα </t>
  </si>
  <si>
    <t>http://www.nutritiondata.com/searchbox.html</t>
  </si>
  <si>
    <t xml:space="preserve">Μπορείτε να απαντήσετε σε ερωτήματα όπως: </t>
  </si>
  <si>
    <t xml:space="preserve">Τι σχέση έχει το λίπος των τροφών με τις θερμίδες τους; </t>
  </si>
  <si>
    <t xml:space="preserve">Ποιες τροφές είναι ψηλές σε πρωτεΐνες; </t>
  </si>
  <si>
    <t>Τι πρέπει να αποφεύγει ένα άτομο που έχει ψηλή χοληστερόλη;</t>
  </si>
  <si>
    <t xml:space="preserve">Για περισσότερα ερωτήματα χρησιμοποιήστε το φύλλο εργασίας </t>
  </si>
  <si>
    <t xml:space="preserve">Δείτε και χρησιμοποιήστε το θερμιδομετρητή </t>
  </si>
  <si>
    <t xml:space="preserve">                         Πίνακας θερμίδων ανά 100 γραμμάρια </t>
  </si>
  <si>
    <t>πίσω</t>
  </si>
  <si>
    <t>Τροφή</t>
  </si>
  <si>
    <t xml:space="preserve">Κατηγορία </t>
  </si>
  <si>
    <t>Ενέργεια
 (σε θερμίδες)</t>
  </si>
  <si>
    <t>Πρωτεϊνες(g)</t>
  </si>
  <si>
    <t>Υδατανθρακες</t>
  </si>
  <si>
    <t>Λιπος</t>
  </si>
  <si>
    <t>Αβοκάντο</t>
  </si>
  <si>
    <t xml:space="preserve">λαχανικά </t>
  </si>
  <si>
    <t>Αγγούρι</t>
  </si>
  <si>
    <t>Αγκινάρες</t>
  </si>
  <si>
    <t>Ακτινίδιο</t>
  </si>
  <si>
    <t xml:space="preserve">φρούτα </t>
  </si>
  <si>
    <t>Αλεύρι σίκαλης</t>
  </si>
  <si>
    <t>δημητριακά</t>
  </si>
  <si>
    <t>Αλεύρι σιταριού</t>
  </si>
  <si>
    <t>Αμύγδαλα</t>
  </si>
  <si>
    <t>ξηροί καρποί</t>
  </si>
  <si>
    <t>Αμυγδαλωτό</t>
  </si>
  <si>
    <t>επιδόρπια</t>
  </si>
  <si>
    <t>Ανανάς</t>
  </si>
  <si>
    <t xml:space="preserve">Αναψυκτικό </t>
  </si>
  <si>
    <t>ποτά</t>
  </si>
  <si>
    <t>Αναψυκτικό διαίτης</t>
  </si>
  <si>
    <t>Αντίδια</t>
  </si>
  <si>
    <t>Αραβόσιτος</t>
  </si>
  <si>
    <t>Αρνί</t>
  </si>
  <si>
    <t xml:space="preserve">κρέας </t>
  </si>
  <si>
    <t>Ασπρα φασόλια, (ξηρά)</t>
  </si>
  <si>
    <t>όσπρια</t>
  </si>
  <si>
    <t>Ασπράδι</t>
  </si>
  <si>
    <t xml:space="preserve">αυγά </t>
  </si>
  <si>
    <t>Ασπρο κρασί</t>
  </si>
  <si>
    <t xml:space="preserve">Αυγό βραστό </t>
  </si>
  <si>
    <t>αυγά</t>
  </si>
  <si>
    <t>Αυγό τηγανητό</t>
  </si>
  <si>
    <t>Αχλάδι</t>
  </si>
  <si>
    <t>Βακαλάος</t>
  </si>
  <si>
    <t xml:space="preserve">θαλασσινά </t>
  </si>
  <si>
    <t>Βατόμουρο</t>
  </si>
  <si>
    <t>Βερίκοκο</t>
  </si>
  <si>
    <t>Βερίκοκο, ξηρό</t>
  </si>
  <si>
    <t>Βερμούτ</t>
  </si>
  <si>
    <t>Βούτυρο</t>
  </si>
  <si>
    <t xml:space="preserve">λίπη </t>
  </si>
  <si>
    <t>Βρώμη</t>
  </si>
  <si>
    <t>Γάλα  σοκολάτας</t>
  </si>
  <si>
    <t>γαλακτοκομικά</t>
  </si>
  <si>
    <t>0,5</t>
  </si>
  <si>
    <t>Γάλα ολόπαχο</t>
  </si>
  <si>
    <t>Γάλα,  λιπαρά 1,5%</t>
  </si>
  <si>
    <t>Γάλα, αποβουτυρωμένο</t>
  </si>
  <si>
    <t>Γαλοπούλα</t>
  </si>
  <si>
    <t>Γαρίδες</t>
  </si>
  <si>
    <t>Γιαούρτι</t>
  </si>
  <si>
    <t>Γιαούρτι άπαχο</t>
  </si>
  <si>
    <t>Γιαούρτι ημιάπαχο</t>
  </si>
  <si>
    <t>Γιαούρτι με φρούτα</t>
  </si>
  <si>
    <t>Γκρέιπφρουτ</t>
  </si>
  <si>
    <t>Γλυκά φρούτων</t>
  </si>
  <si>
    <t>Δαμάσκηνα</t>
  </si>
  <si>
    <t>Δαμάσκηνα ξηρά</t>
  </si>
  <si>
    <t>Δημητριακά προγεύματος</t>
  </si>
  <si>
    <t>Ελαιόλαδο</t>
  </si>
  <si>
    <t>λίπη</t>
  </si>
  <si>
    <t>Ελιά</t>
  </si>
  <si>
    <t>Ζαμπόν καπνιστό</t>
  </si>
  <si>
    <t>Ζάχαρη</t>
  </si>
  <si>
    <t>Ηλιέλαιο</t>
  </si>
  <si>
    <t>Κακάο</t>
  </si>
  <si>
    <t>Καλαμάρι</t>
  </si>
  <si>
    <t>Καλαμπόκι</t>
  </si>
  <si>
    <t>Καπνιστή ρέγγα</t>
  </si>
  <si>
    <t>καπνιστό χοιρινό</t>
  </si>
  <si>
    <t>Καραμέλα γάλακτος</t>
  </si>
  <si>
    <t>Καρότα</t>
  </si>
  <si>
    <t>Καρπούζι</t>
  </si>
  <si>
    <t>Καρύδες</t>
  </si>
  <si>
    <t>Καρύδια</t>
  </si>
  <si>
    <t>Κάστανο</t>
  </si>
  <si>
    <t>Κέικ φρούτων</t>
  </si>
  <si>
    <t>Κεράσι</t>
  </si>
  <si>
    <t>Κινεζικό λάχανο</t>
  </si>
  <si>
    <t>Κόκκινο κρασί</t>
  </si>
  <si>
    <t>Κόκκινο λάχανο</t>
  </si>
  <si>
    <t>Κολοκύθα</t>
  </si>
  <si>
    <t>Κολοκύθια</t>
  </si>
  <si>
    <t>Κονιάκ</t>
  </si>
  <si>
    <t>Κοτόπουλο</t>
  </si>
  <si>
    <t>Κουλουράκι</t>
  </si>
  <si>
    <t>Κουνουπίδι</t>
  </si>
  <si>
    <t>Κρασί μήλου</t>
  </si>
  <si>
    <t>Κρεμμύδια</t>
  </si>
  <si>
    <t>Κριθάρι</t>
  </si>
  <si>
    <t>Κυπρίνος</t>
  </si>
  <si>
    <t>Λαγός</t>
  </si>
  <si>
    <t>Λάδι καλαμποκιού</t>
  </si>
  <si>
    <t>Λάχανο</t>
  </si>
  <si>
    <t>Λεμονάδα</t>
  </si>
  <si>
    <t>Λεμόνι</t>
  </si>
  <si>
    <t>Λουκάνικα  Φρανκφούρτης</t>
  </si>
  <si>
    <t>Λουκάνικο ζαμπόν</t>
  </si>
  <si>
    <t>Λουκάνικο πουλερικών</t>
  </si>
  <si>
    <t>Λουκάνικο χοιρινό</t>
  </si>
  <si>
    <t>Λωτός</t>
  </si>
  <si>
    <t>Μάγκο</t>
  </si>
  <si>
    <t>Μαϊντανός</t>
  </si>
  <si>
    <t>Μακαρόνια</t>
  </si>
  <si>
    <t>Μακαρόνια ολικής άλεσης</t>
  </si>
  <si>
    <t>Μαλακό τυρί</t>
  </si>
  <si>
    <t>Μανιτάρια</t>
  </si>
  <si>
    <t>Μανταρίνι</t>
  </si>
  <si>
    <t>Μαργαρίνη</t>
  </si>
  <si>
    <t xml:space="preserve">Μαργαρίνη λάιτ </t>
  </si>
  <si>
    <t>Μαρμελάδα</t>
  </si>
  <si>
    <t>Μαρούλι</t>
  </si>
  <si>
    <t>Μέλι</t>
  </si>
  <si>
    <t>Μελιτζάνες</t>
  </si>
  <si>
    <t>Μήλο</t>
  </si>
  <si>
    <t>Μορτατέλα</t>
  </si>
  <si>
    <t>Μοσχαρίσιο κρέας</t>
  </si>
  <si>
    <t>Μπακαλιάρος</t>
  </si>
  <si>
    <t>Μπανάνα</t>
  </si>
  <si>
    <t>Μπέικον</t>
  </si>
  <si>
    <t>Μπιζέλια</t>
  </si>
  <si>
    <t>Μπιζέλια (ξηρά)</t>
  </si>
  <si>
    <t>Μπριζόλα χοιρινού κρέατος</t>
  </si>
  <si>
    <t>Μπρόκολο</t>
  </si>
  <si>
    <t>Μπύρα</t>
  </si>
  <si>
    <t>Νεκταρίνι</t>
  </si>
  <si>
    <t>Νερό</t>
  </si>
  <si>
    <t xml:space="preserve">Νουγκατίνα </t>
  </si>
  <si>
    <t>Ντομάτα</t>
  </si>
  <si>
    <t xml:space="preserve">Ομελέτα (απλή με αυγό) </t>
  </si>
  <si>
    <t>Παγωτό</t>
  </si>
  <si>
    <t>Παντζάρια</t>
  </si>
  <si>
    <t>Πάπια</t>
  </si>
  <si>
    <t>Παρμεζάνα</t>
  </si>
  <si>
    <t>Παστό βοδινό</t>
  </si>
  <si>
    <t>Πατάτες</t>
  </si>
  <si>
    <t xml:space="preserve">Πεπόνι </t>
  </si>
  <si>
    <t>Πέστροφα</t>
  </si>
  <si>
    <t>Πιπέρια</t>
  </si>
  <si>
    <t>Πορτοκάλι</t>
  </si>
  <si>
    <t>Πραλίνες</t>
  </si>
  <si>
    <t>Πράσο</t>
  </si>
  <si>
    <t>Πρόβειο κρέας</t>
  </si>
  <si>
    <t>Ραδίκι</t>
  </si>
  <si>
    <t>Ρέγγες</t>
  </si>
  <si>
    <t>Ροδάκινο</t>
  </si>
  <si>
    <t>Ρόδι</t>
  </si>
  <si>
    <t>Ρύζι</t>
  </si>
  <si>
    <t>Σαλάμι</t>
  </si>
  <si>
    <t>Σαρδέλλες</t>
  </si>
  <si>
    <t>Σέλινο</t>
  </si>
  <si>
    <t>Σίκαλη</t>
  </si>
  <si>
    <t>Σισάμι</t>
  </si>
  <si>
    <t>Σιτάρι</t>
  </si>
  <si>
    <t>Σκόρδο</t>
  </si>
  <si>
    <t>Σκουμπρί</t>
  </si>
  <si>
    <t>Σογιέλαιο</t>
  </si>
  <si>
    <t>Σοκολάτα  γάλακτος</t>
  </si>
  <si>
    <t>Σολομός</t>
  </si>
  <si>
    <t>Σπανάκι</t>
  </si>
  <si>
    <t>Σπαράγγι</t>
  </si>
  <si>
    <t>Σπόροι ηλίανθων</t>
  </si>
  <si>
    <t>Σταφίδες</t>
  </si>
  <si>
    <t>Σταφύλια</t>
  </si>
  <si>
    <t>Στήθος κοτόπουλου</t>
  </si>
  <si>
    <t>Σύκα</t>
  </si>
  <si>
    <t>Τηγανητές πατάτες</t>
  </si>
  <si>
    <t xml:space="preserve">Τόνος  </t>
  </si>
  <si>
    <t>Τόνος σε σπορέλαιο</t>
  </si>
  <si>
    <t>Τριμμένες φρυγανιές</t>
  </si>
  <si>
    <t xml:space="preserve">Τυρί διαίτης </t>
  </si>
  <si>
    <t>Τυρί ένταμ</t>
  </si>
  <si>
    <t xml:space="preserve">Τυρί κρέμας </t>
  </si>
  <si>
    <t>Τυρί τσένταρ</t>
  </si>
  <si>
    <t>Φακές (ξηρές)</t>
  </si>
  <si>
    <t>Φασόλια, πράσινα</t>
  </si>
  <si>
    <t>Φέτα (τυρί)</t>
  </si>
  <si>
    <t>Φράουλες</t>
  </si>
  <si>
    <t xml:space="preserve">Φρέσκα κρέμα </t>
  </si>
  <si>
    <t>Φτερούγες  κοτόπουλου</t>
  </si>
  <si>
    <t>Φυστίκια</t>
  </si>
  <si>
    <t>Χαλούμι</t>
  </si>
  <si>
    <t>Χαλούμι διαίτης</t>
  </si>
  <si>
    <t>Χήνα</t>
  </si>
  <si>
    <t>Χοιρινό κρέας</t>
  </si>
  <si>
    <t>Χυμός ανανά</t>
  </si>
  <si>
    <t>Χυμός βύσσινων</t>
  </si>
  <si>
    <t>Χυμός γκρέιπφρουτ</t>
  </si>
  <si>
    <t>Χυμός καρότου</t>
  </si>
  <si>
    <t>Χυμός λεμονιού</t>
  </si>
  <si>
    <t>Χυμός μήλων</t>
  </si>
  <si>
    <t xml:space="preserve">Χυμός ντομάτας </t>
  </si>
  <si>
    <t>Χυμός πορτοκαλιού</t>
  </si>
  <si>
    <t>Χυμός σταφυλιών</t>
  </si>
  <si>
    <t>Ψάρι σε κροκέτα (fish finger)</t>
  </si>
  <si>
    <t>Ψητές πατάτες</t>
  </si>
  <si>
    <t>ψωμί</t>
  </si>
  <si>
    <t>Ψωμί</t>
  </si>
  <si>
    <t>Ψωμί σίκαλης</t>
  </si>
  <si>
    <t xml:space="preserve">Ψωμί σιταριού </t>
  </si>
  <si>
    <t>Λογική συνθήκη</t>
  </si>
  <si>
    <t>Λογική συνθήκη (Logical test)</t>
  </si>
  <si>
    <t>Τελεστές σύγκρισης: =, &lt;&gt;, &gt;, &lt;, &gt;=, &lt;=</t>
  </si>
  <si>
    <t>Β</t>
  </si>
  <si>
    <t>στο κελί D6 βρείτε το αποτέλεσμα της λογικής συνθήκης:</t>
  </si>
  <si>
    <t>"=B6=C6"</t>
  </si>
  <si>
    <t>στο κελί D7 βρείτε το αποτέλεσμα της λογικής συνθήκης:</t>
  </si>
  <si>
    <t>"=B7&gt;C7"</t>
  </si>
  <si>
    <t>α</t>
  </si>
  <si>
    <t>β</t>
  </si>
  <si>
    <t>στο κελί D8 βρείτε το αποτέλεσμα της λογικής συνθήκης:</t>
  </si>
  <si>
    <t>"=B8&lt;C8"</t>
  </si>
  <si>
    <t>"=B9&lt;&gt;C9"</t>
  </si>
  <si>
    <t>Απλή IF</t>
  </si>
  <si>
    <t>Αποτέλεσμα IF</t>
  </si>
  <si>
    <t>στο κελί D6 να εμφανίζεται:</t>
  </si>
  <si>
    <t>"Ο Α είναι μεγαλύτερος του Β"</t>
  </si>
  <si>
    <t>αλλιώς</t>
  </si>
  <si>
    <t>"Ο Α είναι μικρότερος του Β"</t>
  </si>
  <si>
    <t>στο κελί D7 να εμφανίζεται:</t>
  </si>
  <si>
    <t>Βαθμός</t>
  </si>
  <si>
    <t>Μαθητής 1</t>
  </si>
  <si>
    <t>στο κελί D10 να εμφανίζεται:</t>
  </si>
  <si>
    <r>
      <t xml:space="preserve">"ΠΡΟΑΓΕΤΑΙ"  </t>
    </r>
    <r>
      <rPr>
        <i/>
        <sz val="11"/>
        <color indexed="8"/>
        <rFont val="Calibri"/>
        <family val="2"/>
        <charset val="161"/>
      </rPr>
      <t>αν βαθμός&gt;9,9</t>
    </r>
  </si>
  <si>
    <r>
      <t xml:space="preserve">"ΔΕΝ ΠΡΟΑΓΕΤΑΙ" </t>
    </r>
    <r>
      <rPr>
        <i/>
        <sz val="11"/>
        <color indexed="8"/>
        <rFont val="Calibri"/>
        <family val="2"/>
        <charset val="161"/>
      </rPr>
      <t>αν βαθμός&lt;9,9</t>
    </r>
  </si>
  <si>
    <t>Μαθητής 2</t>
  </si>
  <si>
    <t>στο κελί D11 να εμφανίζεται:</t>
  </si>
  <si>
    <r>
      <t xml:space="preserve">"ΠΡΟΑΓΕΤΑΙ" </t>
    </r>
    <r>
      <rPr>
        <i/>
        <sz val="11"/>
        <color indexed="8"/>
        <rFont val="Calibri"/>
        <family val="2"/>
        <charset val="161"/>
      </rPr>
      <t>αν βαθμός&gt;9,9</t>
    </r>
  </si>
  <si>
    <t>Μαθητής 3</t>
  </si>
  <si>
    <r>
      <t xml:space="preserve">"ΑΡΙΣΤΑ" </t>
    </r>
    <r>
      <rPr>
        <i/>
        <sz val="11"/>
        <color indexed="8"/>
        <rFont val="Calibri"/>
        <family val="2"/>
        <charset val="161"/>
      </rPr>
      <t>αν βαθμός&gt;=18</t>
    </r>
  </si>
  <si>
    <t>τίποτε</t>
  </si>
  <si>
    <t>Ομάδα</t>
  </si>
  <si>
    <t>ΠΟΜ</t>
  </si>
  <si>
    <t>Εμφωλευμένη IF</t>
  </si>
  <si>
    <t>Προφορικός Βαθμός</t>
  </si>
  <si>
    <t>Βαθμός Γραπτού</t>
  </si>
  <si>
    <t>Προσαρμογή προφορικού</t>
  </si>
  <si>
    <t>Οδηγίες</t>
  </si>
  <si>
    <t>Βοήθεια</t>
  </si>
  <si>
    <t>στο κελί D6 να εμφανίζεται ο προσαρμοσμένος προφορικός όταν ο προφορικός είναι 2 μονάδες μεγαλύτερος του γραπτού</t>
  </si>
  <si>
    <t>=IF(B6-C6&gt;=2;C6+2;B6)</t>
  </si>
  <si>
    <t>στο κελί D7 να εμφανίζεται ο προσαρμοσμένος προφορικός όταν ο προφορικός είναι 2 μονάδες και περισσότερο  μικρότερος του γραπτού</t>
  </si>
  <si>
    <t>=IF(C7-B7&gt;=2;C7-2;B7)</t>
  </si>
  <si>
    <t>στα κελιά D9:D10 να εμφανίζεται ο προσαρμοσμένος προφορικός όταν ο προφορικός είναι 2 μονάδες και περισσότερο  μικρότερος ή μεγαλύτερος του γραπτού</t>
  </si>
  <si>
    <t>=IF(B9-C9&gt;=2;C9+2;IF(C9-B9&gt;=2;C9-2;B9))</t>
  </si>
  <si>
    <t>κάνετε επέκταση του τύπου από το D9 προς το D10</t>
  </si>
  <si>
    <t>=VLOOKUP(lookup_value,table_array,col_index_num,range_lookup)</t>
  </si>
  <si>
    <t>η τιμή που προσπαθείς να βρεις</t>
  </si>
  <si>
    <t>Πίνακας των δεδομένων που θέλεις να βρείς την τιμή</t>
  </si>
  <si>
    <t>Η στήλη της τιμής που θέλεις να επιστραφεί</t>
  </si>
  <si>
    <t>TRUE (για κατά προσέγγιση εύρεση) ή FALSE (για ακριβή εύρεση)</t>
  </si>
  <si>
    <t>Ο πίνακας table_array πρέπει ΠΑΝΤΟΤΕ να έχει ΑΠΟΛΥΤΗ ΑΝΑΦΟΡΑ ($ πριν τις στήλες και τις σειρές των κελιών του)</t>
  </si>
  <si>
    <t>Η τιμή της στήλης επιστροφής τιμών col_index_num είναι σχέση με τον  table_array, δηλ. 1, 2, 3, κ.ο.κ.</t>
  </si>
  <si>
    <t>Πίνακας 2</t>
  </si>
  <si>
    <t>Πίνακας 1</t>
  </si>
  <si>
    <t>Κατηγορία</t>
  </si>
  <si>
    <t>ΑΡΗΣ</t>
  </si>
  <si>
    <t>Superleague</t>
  </si>
  <si>
    <t>Επανομή</t>
  </si>
  <si>
    <t>Δ' Εθνική</t>
  </si>
  <si>
    <t>Δόξα Δράμας</t>
  </si>
  <si>
    <t>Β' Εθνική</t>
  </si>
  <si>
    <t>ΠΑΟΔ</t>
  </si>
  <si>
    <t>Γ' Εθνική</t>
  </si>
  <si>
    <r>
      <t>Παράδειγμα</t>
    </r>
    <r>
      <rPr>
        <b/>
        <sz val="10"/>
        <rFont val="Gill Sans MT"/>
        <family val="2"/>
      </rPr>
      <t>: Αυτή η  vlookup επιστρέφει την κατηγορία που αγωνίζεται ο ΠΟΜ:</t>
    </r>
  </si>
  <si>
    <t>=VLOOKUP(B15;$F$14:$G$19;2;FALSE)</t>
  </si>
  <si>
    <t>V-Lookup: ακριβής εύρεση</t>
  </si>
  <si>
    <t>Βρείτε τον κλάδο για κάθε καθηγητή με τη χρήση της VLOOKUP στον πίνακα 2</t>
  </si>
  <si>
    <t>Πίνακας 1:</t>
  </si>
  <si>
    <t>Πίνακας 2:</t>
  </si>
  <si>
    <t>ΑΑ</t>
  </si>
  <si>
    <t>ΠΕ</t>
  </si>
  <si>
    <t>Κλάδος?</t>
  </si>
  <si>
    <t>Κλάδος</t>
  </si>
  <si>
    <t>Γεράκης</t>
  </si>
  <si>
    <t>ΠΕ19.00</t>
  </si>
  <si>
    <t>=VLOOKUP(C8;$G$8:$H$98;2;FALSE)</t>
  </si>
  <si>
    <t>ΠΕ01.00</t>
  </si>
  <si>
    <t>ΘΕΟΛΟΓΟΙ</t>
  </si>
  <si>
    <t>Ζάτκας</t>
  </si>
  <si>
    <t>ΠΕ04.01</t>
  </si>
  <si>
    <t>επέκταση του Ε8 προς τα κάτω</t>
  </si>
  <si>
    <t>ΠΕ02.00</t>
  </si>
  <si>
    <t>ΦΙΛΟΛΟΓΟΙ</t>
  </si>
  <si>
    <t>Ιοράνογλου</t>
  </si>
  <si>
    <t>ΠΕ03.00</t>
  </si>
  <si>
    <t>ΜΑΘΗΜΑΤΙΚΟΙ</t>
  </si>
  <si>
    <t>Καραμάνη</t>
  </si>
  <si>
    <t>ΦΥΣΙΚΟΙ</t>
  </si>
  <si>
    <t>Καρατσομπάνη</t>
  </si>
  <si>
    <t>ΠΕ06.00</t>
  </si>
  <si>
    <t>ΠΕ04.02</t>
  </si>
  <si>
    <t>ΧΗΜΙΚΟΙ</t>
  </si>
  <si>
    <t>Μαλακούδης</t>
  </si>
  <si>
    <t>ΠΕ04.03</t>
  </si>
  <si>
    <t>ΦΥΣΙΟΓΝΩΣΤΕΣ</t>
  </si>
  <si>
    <t>Παναγοπούλου</t>
  </si>
  <si>
    <t>ΠΕ07.00</t>
  </si>
  <si>
    <t>ΠΕ04.04</t>
  </si>
  <si>
    <t>ΒΙΟΛΟΓΟΙ</t>
  </si>
  <si>
    <t>Παπαγεωργίου</t>
  </si>
  <si>
    <t>ΠΕ04.05</t>
  </si>
  <si>
    <t>ΓΕΩΛΟΓΟΙ</t>
  </si>
  <si>
    <t>Πετρίδου</t>
  </si>
  <si>
    <t>ΠΕ05.00</t>
  </si>
  <si>
    <t>ΓΑΛΛΙΚΗΣ</t>
  </si>
  <si>
    <t>Πολίτου</t>
  </si>
  <si>
    <t>ΠΕ09.00</t>
  </si>
  <si>
    <t>ΑΓΓΛΙΚΗΣ</t>
  </si>
  <si>
    <t>Τσάπουρνας</t>
  </si>
  <si>
    <t>ΓΕΡΜΑΝΙΚΗΣ</t>
  </si>
  <si>
    <t>ΠΕ08.00</t>
  </si>
  <si>
    <t>ΚΑΛΛΙΤΕΧΝΙΚΩΝ</t>
  </si>
  <si>
    <t>ΟΙΚΟΝΟΜΟΛΟΓΟΙ</t>
  </si>
  <si>
    <t>ΠΕ10.00</t>
  </si>
  <si>
    <t>ΚΟΙΝΩΝΙΟΛΟΓΟΙ</t>
  </si>
  <si>
    <t>ΠΕ11.00</t>
  </si>
  <si>
    <t>ΦΥΣΙΚΗΣ ΑΓΩΓΗΣ</t>
  </si>
  <si>
    <t>ΠΕ12.01</t>
  </si>
  <si>
    <t>ΠΟΛΙΤΙΚΟΙ ΜΗΧΑΝΙΚΟΙ</t>
  </si>
  <si>
    <t>ΠΕ12.02</t>
  </si>
  <si>
    <t>ΑΡΧΙΤΕΚΤΟΝΕΣ</t>
  </si>
  <si>
    <t>ΠΕ12.03</t>
  </si>
  <si>
    <t>ΤΟΠΟΓΡΑΦΟΙ</t>
  </si>
  <si>
    <t>ΠΕ12.04</t>
  </si>
  <si>
    <t>ΜΗΧΑΝΟΛΟΓΟΙ</t>
  </si>
  <si>
    <t>ΠΕ12.05</t>
  </si>
  <si>
    <t>ΗΛΕΚΤΡΟΛΟΓΟΙ ΜΗΧΑΝΙΚΟΙ</t>
  </si>
  <si>
    <t>ΠΕ12.06</t>
  </si>
  <si>
    <t>ΗΛΕΚΤΡΟΝΙΚΟΙ ΜΗΧΑΝΙΚΟΙ</t>
  </si>
  <si>
    <t>ΠΕ12.07</t>
  </si>
  <si>
    <t>ΝΑΥΠΗΓΟΙ ΜΗΧΑΝΙΚΟΙ</t>
  </si>
  <si>
    <t>ΠΕ12.08</t>
  </si>
  <si>
    <t>ΧΗΜ.ΜΗΧΑΝ.-ΜΕΤΑΛΛΕΙΟΛΟΓΟΙ</t>
  </si>
  <si>
    <t>ΠΕ12.10</t>
  </si>
  <si>
    <t>ΦΥΣ.ΡΑΔΙΟΗΛΕΚΤΡΟΛΟΓΟΙ</t>
  </si>
  <si>
    <t>ΠΕ12.11</t>
  </si>
  <si>
    <t>ΜΗΧΑΝΙΚΟΙ ΠΑΡΑΓ. ΚΑΙ ΔΙΟΙΚ.</t>
  </si>
  <si>
    <t>ΠΕ12.12</t>
  </si>
  <si>
    <t>ΜΗΧ. ΚΛΩΣΤΟΫΦΑΝΤΟΥΡΓΙΑΣ</t>
  </si>
  <si>
    <t>ΠΕ12.13</t>
  </si>
  <si>
    <t>ΠΕΡΙΒΑΛΛΟΝΤΟΛΟΓΟΙ</t>
  </si>
  <si>
    <t>ΠΕ13.00</t>
  </si>
  <si>
    <t>ΝΟΜΙΚΗΣ - ΠΟΛΙΤ. ΕΠΙΣΤΗΜΩΝ</t>
  </si>
  <si>
    <t>ΠΕ14.01</t>
  </si>
  <si>
    <t>ΙΑΤΡΟΙ</t>
  </si>
  <si>
    <t>ΠΕ14.02</t>
  </si>
  <si>
    <t>ΟΔΟΝΤΙΑΤΡΟΙ</t>
  </si>
  <si>
    <t>ΠΕ14.03</t>
  </si>
  <si>
    <t>ΦΑΡΜΑΚΟΠΟΙΟΙ</t>
  </si>
  <si>
    <t>ΠΕ14.04</t>
  </si>
  <si>
    <t>ΓΕΩΠΟΝΟΙ</t>
  </si>
  <si>
    <t>ΠΕ14.05</t>
  </si>
  <si>
    <t>ΔΑΣΟΛΟΓΙΑΣ ΚΑΙ ΦΥΣ. ΠΕΡ/ΝΤΟΣ</t>
  </si>
  <si>
    <t>ΠΕ14.06</t>
  </si>
  <si>
    <t>ΝΟΣΗΛΕΥΤΕΣ</t>
  </si>
  <si>
    <t>ΠΕ15.00</t>
  </si>
  <si>
    <t>ΟΙΚΙΑΚΗΣ ΟΙΚΟΝΟΜΙΑΣ</t>
  </si>
  <si>
    <t>ΠΕ16.00</t>
  </si>
  <si>
    <t>ΜΟΥΣΙΚΗΣ</t>
  </si>
  <si>
    <t>ΠΕ17.01</t>
  </si>
  <si>
    <t>ΠΟΛΙΤΙΚΟΙ ΑΣΕΤΕΜ</t>
  </si>
  <si>
    <t>ΠΕ17.02</t>
  </si>
  <si>
    <t>ΜΗΧΑΝΟΛΟΓΟΙ ΑΣΕΤΕΜ</t>
  </si>
  <si>
    <t>ΠΕ17.03</t>
  </si>
  <si>
    <t>ΗΛΕΚΤΡΟΛΟΓΟΙ ΑΣΕΤΕΜ</t>
  </si>
  <si>
    <t>ΠΕ17.04</t>
  </si>
  <si>
    <t>ΗΛΕΚΤΡΟΝΙΚΟΙ ΑΣΕΤΕΜ</t>
  </si>
  <si>
    <t>ΠΕ17.05</t>
  </si>
  <si>
    <t>ΠΟΛΙΤΙΚΟΙ ΤΕΙ - ΚΑΤΕΕ</t>
  </si>
  <si>
    <t>ΠΕ17.06</t>
  </si>
  <si>
    <t>ΜΗΧΑΝ. ΤΕΙ -ΝΑΥΤ. Ε.Ν. ΤΕΙ -ΚΑΤΕΕ</t>
  </si>
  <si>
    <t>ΠΕ17.07</t>
  </si>
  <si>
    <t>ΜΗΧΑΝΟΛΟΓΟΙ - ΗΛΕΚΤΡΟΛΟΓΟΙ - ΗΛ/ΓΟΙ ΤΕΙ</t>
  </si>
  <si>
    <t>ΠΕ17.08</t>
  </si>
  <si>
    <t>ΗΛΕΚΤΡΟΝΙΚΟΙ ΤΕΙ - ΚΑΤΕΕ</t>
  </si>
  <si>
    <t>ΠΕ17.09</t>
  </si>
  <si>
    <t>ΤΕΧΝΙΚΟΙ ΙΑΤΡΙΚΩΝ ΟΡΓΑΝΩΝ</t>
  </si>
  <si>
    <t>ΠΕ17.10</t>
  </si>
  <si>
    <t>ΤΕΧΝΟΛΟΓΟΙ ΕΝΕΡΓΕΙΑΚΗΣ ΤΕΧΝ.</t>
  </si>
  <si>
    <t>ΠΕ17.11</t>
  </si>
  <si>
    <t>ΤΟΠΟΓΡΑΦΟΙ ΤΕΙ - ΚΑΤΕΕ</t>
  </si>
  <si>
    <t>ΠΕ18.01</t>
  </si>
  <si>
    <t>ΓΡΑΦΙΚΩΝ ΤΕΧΝΩΝ</t>
  </si>
  <si>
    <t>ΠΕ18.02</t>
  </si>
  <si>
    <t xml:space="preserve">ΔΙΟΙΚΗΣΗΣ ΕΠΙΧΕΙΡΗΣΕΩΝ </t>
  </si>
  <si>
    <t>ΠΕ18.03</t>
  </si>
  <si>
    <t>ΛΟΓΙΣΤΙΚΗΣ</t>
  </si>
  <si>
    <t>ΠΕ18.04</t>
  </si>
  <si>
    <t>ΑΙΣΘΗΤΙΚΗΣ</t>
  </si>
  <si>
    <t>ΠΕ18.05</t>
  </si>
  <si>
    <t>ΚΟΜΜΩΤΙΚΗΣ</t>
  </si>
  <si>
    <t>ΠΕ18.06</t>
  </si>
  <si>
    <t>ΚΟΠΤΙΚΗΣ - ΡΑΠΤΙΚΗΣ</t>
  </si>
  <si>
    <t>ΠΕ18.07</t>
  </si>
  <si>
    <t>ΙΑΤΡΙΚΩΝ ΕΡΓΑΣΤΗΡΙΩΝ</t>
  </si>
  <si>
    <t>ΠΕ18.08</t>
  </si>
  <si>
    <t>ΟΔΟΝΤΟΤΕΧΝΙΚΗΣ</t>
  </si>
  <si>
    <t>ΠΕ18.09</t>
  </si>
  <si>
    <t>ΚΟΙΝΩΝΙΚΗΣ ΕΡΓΑΣΙΑΣ</t>
  </si>
  <si>
    <t>ΠΕ18.10</t>
  </si>
  <si>
    <t>ΝΟΣΗΛΕΥΤΙΚΗΣ</t>
  </si>
  <si>
    <t>ΠΕ18.11</t>
  </si>
  <si>
    <t>ΜΑΙΕΥΤΙΚΗΣ</t>
  </si>
  <si>
    <t>ΠΕ18.12</t>
  </si>
  <si>
    <t>ΦΥΤΙΚΗΣ ΠΑΡΑΓΩΓΗΣ - ΘΕΡΜΟΚΗΠ. ΚΑΛΛΙΕΡΓΕΙΩΝ ΚΑΙ ΑΝΘ/ΜΙΑΣ</t>
  </si>
  <si>
    <t>ΠΕ18.13</t>
  </si>
  <si>
    <t>ΖΩΙΚΗΣ ΠΑΡΑΓΩΓΗΣ</t>
  </si>
  <si>
    <t>ΠΕ18.14</t>
  </si>
  <si>
    <t>ΙΧΘΥΟΚΟΜΙΑΣ - ΑΛΙΕΙΑΣ</t>
  </si>
  <si>
    <t>ΠΕ18.15</t>
  </si>
  <si>
    <t>ΓΕΩΡΓ. ΜΗΧΑΝΗΜΑΤΩΝ  ΚΑΙ ΑΡΔΕΥΣΕΩΝ</t>
  </si>
  <si>
    <t>ΠΕ18.16</t>
  </si>
  <si>
    <t>ΔΑΣΟΠΟΝΙΑΣ</t>
  </si>
  <si>
    <t>ΠΕ18.17</t>
  </si>
  <si>
    <t>ΔΙΟΙΚΗΣΗ ΓΕΩΡΓ. ΕΚΜΕΤΑΛΛ.</t>
  </si>
  <si>
    <t>ΠΕ18.18</t>
  </si>
  <si>
    <t>ΟΧΗΜΑΤΩΝ ΤΕΙ</t>
  </si>
  <si>
    <t>ΠΕ18.19</t>
  </si>
  <si>
    <t>ΣΤΑΤΙΣΤΙΚΗΣ</t>
  </si>
  <si>
    <t>ΠΕ18.20</t>
  </si>
  <si>
    <t>ΚΛΩΣΤΟΫΦΑΝΤΟΥΡΓΙΑΣ</t>
  </si>
  <si>
    <t>ΠΕ18.21</t>
  </si>
  <si>
    <t>ΡΑΔΙΟΛΟΓΙΑΣ - ΑΚΤΙΝΟΛΟΓΙΑΣ</t>
  </si>
  <si>
    <t>ΠΕ18.22</t>
  </si>
  <si>
    <t>ΜΕΤΑΛΛΕΙΟΛΟΓΟΙ - ΤΕΧΝΟΛΟΓΟΙ ΟΡΥΧΕΙΩΝ - ΤΕΧΝΟΛΟΓΟΙ ΓΕΩΤΕΧΝΟΛΟΓΙΑΣ ΚΑΙ ΠΕΡΙΒΑΛΛΟΝΤΟΣ</t>
  </si>
  <si>
    <t>ΠΕ18.23</t>
  </si>
  <si>
    <t>ΝΑΥΤ. ΜΑΘ. (ΠΛΟΙΑΡΧΟΙ)</t>
  </si>
  <si>
    <t>ΠΕ18.24</t>
  </si>
  <si>
    <t>ΕΡΑΣΙΟΘΕΡΑΠΕΥΤΕΣ</t>
  </si>
  <si>
    <t>ΠΕ18.25</t>
  </si>
  <si>
    <t>ΦΥΣΙΟΘΕΡΑΠΕΥΤΕΣ</t>
  </si>
  <si>
    <t>ΠΕ18.26</t>
  </si>
  <si>
    <t>ΓΡΑΦΙΣΤΙΚΗΣ</t>
  </si>
  <si>
    <t>ΠΕ18.27</t>
  </si>
  <si>
    <t>ΔΙΑΚΟΣΜΗΤΙΚΗΣ</t>
  </si>
  <si>
    <t>ΠΕ18.28</t>
  </si>
  <si>
    <t>ΣΥΝΤΗΡΗΤΕΣ ΕΡΓ. ΤΕΧΝΗΣ ΚΑΙ ΑΡΧ. ΕΥΡΗΜΑΤΩΝ</t>
  </si>
  <si>
    <t>ΠΕ18.29</t>
  </si>
  <si>
    <t>ΦΩΤΟΓΡΑΦΙΑΣ</t>
  </si>
  <si>
    <t>ΠΕ18.31</t>
  </si>
  <si>
    <t>ΜΗΧ. ΕΜΠΟΡ. ΝΑΥΤΙΚΟΥ</t>
  </si>
  <si>
    <t>ΠΕ18.32</t>
  </si>
  <si>
    <t>ΜΗΧΑΝΟΣΥΝΘ. ΑΕΡΟΣΚΑΦΩΝ</t>
  </si>
  <si>
    <t>ΠΕ18.33</t>
  </si>
  <si>
    <t>ΒΡΕΦΟΝΗΠΙΟΚΟΜΟΙ</t>
  </si>
  <si>
    <t>ΠΕ18.34</t>
  </si>
  <si>
    <t>ΑΡΓΥΡΟΧΡΥΣΟΧΟΪΑΣ</t>
  </si>
  <si>
    <t>ΠΕ18.35</t>
  </si>
  <si>
    <t>ΤΟΥΡΙΣΤΙΚΩΝ ΕΠΙΧΕΙΡΗΣΕΩΝ</t>
  </si>
  <si>
    <t>ΠΕ18.36</t>
  </si>
  <si>
    <t>ΤΕΧΝΟΛΟΓΙΑΣ ΤΡΟΦΙΜΩΝ -ΔΙΑΤΡΟΦΗΣ - ΟΙΝΟΛΟΓΙΑΣ ΚΑΙ ΤΕΧΝ. ΠΟΤΩΝ</t>
  </si>
  <si>
    <t>ΠΕ18.37</t>
  </si>
  <si>
    <t>ΔΗΜΟΣΙΑΣ ΥΓΙΕΙΝΗΣ</t>
  </si>
  <si>
    <t>ΠΕ18.38</t>
  </si>
  <si>
    <t>ΚΕΡΑΜΙΚΗΣ</t>
  </si>
  <si>
    <t>ΠΕ18.39</t>
  </si>
  <si>
    <t>ΕΠΙΣΚΕΠΤΕΣ ΥΓΕΙΑΣ</t>
  </si>
  <si>
    <t>ΠΕ18.40</t>
  </si>
  <si>
    <t>ΕΜΠΟΡΙΑΣ ΚΑΙ ΔΙΑΦΗΜΙΣΗΣ (MARKETING)</t>
  </si>
  <si>
    <t>ΠΕ18.41</t>
  </si>
  <si>
    <t>ΔΡΑΜΑΤΙΚΗΣ ΤΕΧΝΗΣ</t>
  </si>
  <si>
    <t>ΠΛΗΡΟΦΟΡΙΚΗΣ ΑΕΙ</t>
  </si>
  <si>
    <t>ΠΕ20.00</t>
  </si>
  <si>
    <t>ΠΛΗΡΟΦΟΡΙΚΗΣ ΤΕΙ</t>
  </si>
  <si>
    <t>ΠΕ32.00</t>
  </si>
  <si>
    <t>ΘΕΑΤΡΙΚΩΝ ΣΠΟΥΔΩΝ</t>
  </si>
  <si>
    <t>ΜΕΘΟΔΟΛΟΓΙΑΣ ΙΣΤΟΡΙΑΣ ΚΑΙ ΘΕΩΡΙΑΣ ΤΗΣ ΕΠΙΣΤΗΜΗΣ (ΜΙΘΕ)</t>
  </si>
  <si>
    <t>V-Lookup: κατά προσέγγιση εύρεση</t>
  </si>
  <si>
    <t>Βρείτε το χαρακτηρισμό επίδοσης για κάθε μαθητή με τη χρήση της VLOOKUP στον πίνακα 2</t>
  </si>
  <si>
    <t>Χαρακτηρισμός?</t>
  </si>
  <si>
    <t>=VLOOKUP(C8;G7:H12;2;TRUE)</t>
  </si>
  <si>
    <t>ΔΕΝ ΠΡΟΑΓΕΤΑΙ</t>
  </si>
  <si>
    <t>ΠΡΟΑΓΕΤΑΙ</t>
  </si>
  <si>
    <t>ΚΑΛΩΣ</t>
  </si>
  <si>
    <t>Μαθητής 4</t>
  </si>
  <si>
    <t>ΛΙΑΝ ΚΑΛΩΣ</t>
  </si>
  <si>
    <t>ΑΡΙΣΤΑ</t>
  </si>
  <si>
    <t>Γενική</t>
  </si>
  <si>
    <t>Αριθμός</t>
  </si>
  <si>
    <t>Νομισματική</t>
  </si>
  <si>
    <t>Λογιστική</t>
  </si>
  <si>
    <t>Ημερομηνία</t>
  </si>
  <si>
    <t>Ώρα</t>
  </si>
  <si>
    <t>Ποσοστό</t>
  </si>
  <si>
    <t>Κλάσμα</t>
  </si>
  <si>
    <t>Επιστημονική</t>
  </si>
  <si>
    <t>Κείμενο</t>
  </si>
  <si>
    <t>Προσαρμογή</t>
  </si>
  <si>
    <t>Προσαρμογή 2</t>
  </si>
  <si>
    <t>°</t>
  </si>
  <si>
    <t>ΠΑΡΑΔΕΙΓΜΑΤΑ ΜΑΘΗΜΑΤΙΚΩΝ ΣΥΝΑΡΤΗΣΕΩΝ ΣΤΟ EXCEL</t>
  </si>
  <si>
    <t>Άθροισμα</t>
  </si>
  <si>
    <t>Μέσος όρος</t>
  </si>
  <si>
    <t>Καταμέτρηση</t>
  </si>
  <si>
    <t>Μέγιστο</t>
  </si>
  <si>
    <t>Ελάχιστο</t>
  </si>
  <si>
    <t>UPPER</t>
  </si>
  <si>
    <t>PROPER</t>
  </si>
  <si>
    <t>CONCATENATE</t>
  </si>
  <si>
    <t>EXACT</t>
  </si>
  <si>
    <t>LEN</t>
  </si>
  <si>
    <t>LEFT</t>
  </si>
  <si>
    <t>κείμενο</t>
  </si>
  <si>
    <t>REPT</t>
  </si>
  <si>
    <t>NOW</t>
  </si>
  <si>
    <t>TODAY</t>
  </si>
  <si>
    <t>ΘΕΡΜΟΚΡΑΣΙΕΣ ΕΛΛΗΝΙΚΩΝ ΠΟΛΕΩΝ</t>
  </si>
  <si>
    <t>ΠΟΛΗ</t>
  </si>
  <si>
    <t>ΘΕΡΜΟΚΡΑΣΙΑ ΣΕ ΚΕΛΣΙΟΥ (C)</t>
  </si>
  <si>
    <t>ΘΕΡΜΟΚΡΑΣΙΑ ΣΕ ΦΑΡΕΝΑΪΤ (F)</t>
  </si>
  <si>
    <t>ΑΘΗΝΑ</t>
  </si>
  <si>
    <t>ΘΕΣ/ΝΙΚΗ</t>
  </si>
  <si>
    <t>ΝΕΑ ΜΟΥΔΑΝΙΑ</t>
  </si>
  <si>
    <t>ΠΑΤΡΑ</t>
  </si>
  <si>
    <t>ΚΑΒΑΛΑ</t>
  </si>
  <si>
    <t>ΗΡΑΚΛΕΙΟ</t>
  </si>
  <si>
    <t>ΜΕΣΟΣ ΟΡΟΣ ΘΕΡΜΟΚΡΑΣΙΑΣ</t>
  </si>
  <si>
    <t>ΜΕΓΙΣΤΗ ΘΕΡΜΟΚΡΑΣΙΑ</t>
  </si>
  <si>
    <t>ΕΛΑΧΙΣΤΗ ΘΕΡΜΟΚΡΑΣΙΑ</t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</si>
  <si>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A2</t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</si>
  <si>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A3</t>
    </r>
    <r>
      <rPr>
        <sz val="10"/>
        <rFont val="Arial"/>
        <family val="2"/>
        <charset val="161"/>
      </rPr>
      <t/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</si>
  <si>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A4</t>
    </r>
    <r>
      <rPr>
        <sz val="10"/>
        <rFont val="Arial"/>
        <family val="2"/>
        <charset val="161"/>
      </rPr>
      <t/>
    </r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</si>
  <si>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A5</t>
    </r>
    <r>
      <rPr>
        <sz val="10"/>
        <rFont val="Arial"/>
        <family val="2"/>
        <charset val="161"/>
      </rPr>
      <t/>
    </r>
  </si>
  <si>
    <t>……………………………………………………………..</t>
  </si>
  <si>
    <r>
      <t xml:space="preserve">Εδώ να βρεθεί το ακέραιο μέρος του αριθμού στο κελί </t>
    </r>
    <r>
      <rPr>
        <b/>
        <sz val="10"/>
        <rFont val="Arial"/>
        <family val="2"/>
        <charset val="161"/>
      </rPr>
      <t>A14</t>
    </r>
  </si>
  <si>
    <t>του C13</t>
  </si>
  <si>
    <t>ΣΥΝΑΡΤΗΣΗ ΙΝΤ</t>
  </si>
  <si>
    <t>ΣΥΝΑΡΤΗΣΗ ROUND</t>
  </si>
  <si>
    <r>
      <t xml:space="preserve">Εδώ να στρογγυλοποιηθεί ο αριθμός στο κελί </t>
    </r>
    <r>
      <rPr>
        <b/>
        <sz val="10"/>
        <rFont val="Arial"/>
        <family val="2"/>
        <charset val="161"/>
      </rPr>
      <t>A2</t>
    </r>
  </si>
  <si>
    <r>
      <t xml:space="preserve">Εδώ να στρογγυλοποιηθεί ο αριθμός στο κελί </t>
    </r>
    <r>
      <rPr>
        <b/>
        <sz val="10"/>
        <rFont val="Arial"/>
        <family val="2"/>
        <charset val="161"/>
      </rPr>
      <t>A3</t>
    </r>
    <r>
      <rPr>
        <sz val="11"/>
        <color indexed="8"/>
        <rFont val="Calibri"/>
        <family val="2"/>
        <charset val="161"/>
      </rPr>
      <t/>
    </r>
  </si>
  <si>
    <r>
      <t xml:space="preserve">Εδώ να στρογγυλοποιηθεί ο αριθμός στο κελί </t>
    </r>
    <r>
      <rPr>
        <b/>
        <sz val="10"/>
        <rFont val="Arial"/>
        <family val="2"/>
        <charset val="161"/>
      </rPr>
      <t>A4</t>
    </r>
    <r>
      <rPr>
        <sz val="11"/>
        <color indexed="8"/>
        <rFont val="Calibri"/>
        <family val="2"/>
        <charset val="161"/>
      </rPr>
      <t/>
    </r>
  </si>
  <si>
    <r>
      <t xml:space="preserve">Εδώ να στρογγυλοποιηθεί ο αριθμός στο κελί </t>
    </r>
    <r>
      <rPr>
        <b/>
        <sz val="10"/>
        <rFont val="Arial"/>
        <family val="2"/>
        <charset val="161"/>
      </rPr>
      <t>A5</t>
    </r>
    <r>
      <rPr>
        <sz val="11"/>
        <color indexed="8"/>
        <rFont val="Calibri"/>
        <family val="2"/>
        <charset val="161"/>
      </rPr>
      <t/>
    </r>
  </si>
  <si>
    <r>
      <t xml:space="preserve">Εδώ να στρογγυλοποιηθεί ο αριθμός στο κελί </t>
    </r>
    <r>
      <rPr>
        <b/>
        <sz val="10"/>
        <rFont val="Arial"/>
        <family val="2"/>
        <charset val="161"/>
      </rPr>
      <t>A14</t>
    </r>
  </si>
  <si>
    <t>=IF(G9&gt;=10;"ΝΑΙ";"ΟΧΙ")</t>
  </si>
  <si>
    <t>=IF(G9&lt;10;"Μετεξεταστέος";IF(G9&lt;18;"Καλός";"Άριστος"))</t>
  </si>
  <si>
    <t>Α. Υπολογίστα τα κενά πεδία σύμφωνα με τον τύπο</t>
  </si>
  <si>
    <t>Α. Υπολογίστα τα κενά πεδία σύμφωνα με τον τύπο και δημιουργήστε το γράφημα όπως φαίνεται παρακάτω:</t>
  </si>
  <si>
    <t>και η τιμή τεμαχίου είναι &gt;= 5000</t>
  </si>
  <si>
    <t>και η τιμή τεμαχίου είναι &lt; 5000</t>
  </si>
  <si>
    <t>στο κελί D9 βρείτε το αποτέλεσμα της λογικής συνθήκης:</t>
  </si>
  <si>
    <t>στο κελί D12 να εμφανίζεται:</t>
  </si>
  <si>
    <t>ΤΕΛΙΚΟ ΑΠΟΤΕΛΕΣΜΑ</t>
  </si>
  <si>
    <t>ΠΙΝΑΚΑΣ ΑΛΗΘΕΙΑΣ</t>
  </si>
  <si>
    <t xml:space="preserve">NOT A </t>
  </si>
  <si>
    <t>A AND B</t>
  </si>
  <si>
    <t>A OR B</t>
  </si>
  <si>
    <t>ΠΡΑΓΜΑΤΙΚΟ ΠΑΡΑΔΕΙΓΜΑ</t>
  </si>
  <si>
    <t>ΑΝΑΒΕΙ Η 1η ΛΑΜΠΑ</t>
  </si>
  <si>
    <t>ΑΝΑΒΕΙ Η 2η ΛΑΜΠΑ</t>
  </si>
  <si>
    <t>ΕΙΝΑΙ ΣΒΗΣΤΗ Η 1η ΛΑΜΠΑ</t>
  </si>
  <si>
    <t>ΑΝΑΒΟΥΝ ΚΑΙ ΟΙ ΔΥΟ ΛΑΜΠΕΣ</t>
  </si>
  <si>
    <t>ΑΝΑΒΕΙ Ή Η ΜΙΑ Ή Η ΑΛΛΗ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</si>
</sst>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4" formatCode="_(&quot;$&quot;* #,##0.00_);_(&quot;$&quot;* \(#,##0.00\);_(&quot;$&quot;* &quot;-&quot;??_);_(@_)"/>
    <numFmt numFmtId="164" formatCode="0.0"/>
    <numFmt numFmtId="165" formatCode="#\ ?/12"/>
    <numFmt numFmtId="166" formatCode="#,##0.00\ &quot;€&quot;"/>
    <numFmt numFmtId="167" formatCode="d\-mm\-yy"/>
    <numFmt numFmtId="168" formatCode="00000"/>
    <numFmt numFmtId="169" formatCode="#\ ?/10"/>
    <numFmt numFmtId="170" formatCode="h:mm;@"/>
    <numFmt numFmtId="171" formatCode="[$-F400]h:mm:ss\ AM/PM"/>
    <numFmt numFmtId="172" formatCode="&quot;$&quot;#,##0.00"/>
    <numFmt numFmtId="173" formatCode="###\°"/>
    <numFmt numFmtId="174" formatCode="_-* #,##0.00\ [$€-408]_-;\-* #,##0.00\ [$€-408]_-;_-* &quot;-&quot;??\ [$€-408]_-;_-@_-"/>
  </numFmts>
  <fonts count="107" x14ac:knownFonts="1">
    <font>
      <sz val="10"/>
      <name val="Arial"/>
      <charset val="161"/>
    </font>
    <font>
      <sz val="11"/>
      <color indexed="8"/>
      <name val="Calibri"/>
      <family val="2"/>
      <charset val="161"/>
    </font>
    <font>
      <sz val="10"/>
      <name val="Arial"/>
      <family val="2"/>
      <charset val="161"/>
    </font>
    <font>
      <b/>
      <sz val="12"/>
      <color indexed="18"/>
      <name val="Arial"/>
      <family val="2"/>
      <charset val="161"/>
    </font>
    <font>
      <b/>
      <sz val="10"/>
      <color indexed="43"/>
      <name val="Arial"/>
      <family val="2"/>
    </font>
    <font>
      <b/>
      <sz val="10"/>
      <name val="Arial"/>
      <family val="2"/>
      <charset val="161"/>
    </font>
    <font>
      <sz val="10"/>
      <color indexed="43"/>
      <name val="Arial"/>
      <family val="2"/>
    </font>
    <font>
      <sz val="8"/>
      <color indexed="43"/>
      <name val="Arial"/>
      <family val="2"/>
    </font>
    <font>
      <b/>
      <sz val="10"/>
      <color indexed="8"/>
      <name val="Arial"/>
      <family val="2"/>
      <charset val="161"/>
    </font>
    <font>
      <sz val="9"/>
      <color indexed="43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  <charset val="161"/>
    </font>
    <font>
      <sz val="10"/>
      <color indexed="8"/>
      <name val="Arial"/>
      <family val="2"/>
      <charset val="161"/>
    </font>
    <font>
      <b/>
      <sz val="8"/>
      <color indexed="9"/>
      <name val="Verdana"/>
      <family val="2"/>
    </font>
    <font>
      <sz val="9"/>
      <name val="Verdana"/>
      <family val="2"/>
      <charset val="161"/>
    </font>
    <font>
      <sz val="8"/>
      <color indexed="54"/>
      <name val="Tahoma"/>
      <family val="2"/>
    </font>
    <font>
      <sz val="9"/>
      <color indexed="9"/>
      <name val="Arial"/>
      <family val="2"/>
    </font>
    <font>
      <sz val="10"/>
      <name val="Arial"/>
      <family val="2"/>
      <charset val="161"/>
    </font>
    <font>
      <sz val="10"/>
      <color indexed="43"/>
      <name val="Arial Greek"/>
      <family val="2"/>
      <charset val="161"/>
    </font>
    <font>
      <b/>
      <sz val="10"/>
      <name val="Arial Greek"/>
      <family val="2"/>
      <charset val="161"/>
    </font>
    <font>
      <sz val="7"/>
      <color indexed="43"/>
      <name val="Arial Greek"/>
      <family val="2"/>
      <charset val="161"/>
    </font>
    <font>
      <sz val="7"/>
      <color indexed="11"/>
      <name val="Arial Greek"/>
      <family val="2"/>
      <charset val="161"/>
    </font>
    <font>
      <sz val="7"/>
      <color indexed="47"/>
      <name val="Arial Greek"/>
      <family val="2"/>
      <charset val="161"/>
    </font>
    <font>
      <sz val="9"/>
      <color indexed="15"/>
      <name val="Arial Greek"/>
      <family val="2"/>
      <charset val="161"/>
    </font>
    <font>
      <sz val="8"/>
      <color indexed="11"/>
      <name val="Arial Greek"/>
      <family val="2"/>
      <charset val="161"/>
    </font>
    <font>
      <sz val="8"/>
      <name val="Arial"/>
      <family val="2"/>
    </font>
    <font>
      <sz val="8"/>
      <color indexed="43"/>
      <name val="Arial Greek"/>
      <family val="2"/>
      <charset val="161"/>
    </font>
    <font>
      <b/>
      <sz val="10"/>
      <name val="Arial"/>
      <family val="2"/>
    </font>
    <font>
      <b/>
      <sz val="8"/>
      <name val="Arial Greek"/>
      <family val="2"/>
      <charset val="161"/>
    </font>
    <font>
      <sz val="11"/>
      <color indexed="43"/>
      <name val="Arial Greek"/>
      <family val="2"/>
      <charset val="161"/>
    </font>
    <font>
      <sz val="10"/>
      <name val="Arial"/>
      <family val="2"/>
    </font>
    <font>
      <b/>
      <sz val="10"/>
      <color indexed="43"/>
      <name val="Arial Greek"/>
      <family val="2"/>
      <charset val="161"/>
    </font>
    <font>
      <b/>
      <sz val="11"/>
      <color indexed="62"/>
      <name val="Tahoma"/>
      <family val="2"/>
    </font>
    <font>
      <sz val="11"/>
      <name val="Arial"/>
      <family val="2"/>
    </font>
    <font>
      <b/>
      <sz val="10"/>
      <color indexed="62"/>
      <name val="Tahoma"/>
      <family val="2"/>
    </font>
    <font>
      <b/>
      <sz val="12"/>
      <color indexed="62"/>
      <name val="Tahoma"/>
      <family val="2"/>
    </font>
    <font>
      <b/>
      <sz val="9"/>
      <color indexed="62"/>
      <name val="Tahoma"/>
      <family val="2"/>
    </font>
    <font>
      <b/>
      <sz val="12"/>
      <color indexed="18"/>
      <name val="Arial"/>
      <family val="2"/>
    </font>
    <font>
      <sz val="12"/>
      <name val="Arial"/>
      <family val="2"/>
    </font>
    <font>
      <sz val="10"/>
      <color indexed="11"/>
      <name val="Arial"/>
      <family val="2"/>
    </font>
    <font>
      <sz val="14"/>
      <color indexed="43"/>
      <name val="Arial"/>
      <family val="2"/>
    </font>
    <font>
      <sz val="14"/>
      <name val="Arial"/>
      <family val="2"/>
    </font>
    <font>
      <sz val="14"/>
      <color indexed="60"/>
      <name val="Arial"/>
      <family val="2"/>
    </font>
    <font>
      <sz val="14"/>
      <color indexed="18"/>
      <name val="Arial"/>
      <family val="2"/>
      <charset val="161"/>
    </font>
    <font>
      <sz val="10"/>
      <color indexed="18"/>
      <name val="Arial"/>
      <family val="2"/>
      <charset val="161"/>
    </font>
    <font>
      <sz val="10"/>
      <color indexed="13"/>
      <name val="Arial"/>
      <family val="2"/>
      <charset val="161"/>
    </font>
    <font>
      <sz val="10"/>
      <color indexed="10"/>
      <name val="Arial"/>
      <family val="2"/>
      <charset val="161"/>
    </font>
    <font>
      <sz val="10"/>
      <color indexed="11"/>
      <name val="Arial"/>
      <family val="2"/>
      <charset val="161"/>
    </font>
    <font>
      <sz val="10"/>
      <color indexed="9"/>
      <name val="Arial"/>
      <family val="2"/>
      <charset val="161"/>
    </font>
    <font>
      <b/>
      <sz val="12"/>
      <name val="Arial"/>
      <family val="2"/>
    </font>
    <font>
      <b/>
      <sz val="12"/>
      <name val="Times New Roman Greek"/>
      <family val="1"/>
      <charset val="161"/>
    </font>
    <font>
      <b/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 Greek"/>
      <charset val="161"/>
    </font>
    <font>
      <b/>
      <sz val="9"/>
      <name val="Arial Greek"/>
      <charset val="161"/>
    </font>
    <font>
      <b/>
      <sz val="10"/>
      <name val="Arial Greek"/>
      <charset val="161"/>
    </font>
    <font>
      <sz val="10"/>
      <name val="Arial Greek"/>
      <family val="2"/>
      <charset val="161"/>
    </font>
    <font>
      <b/>
      <sz val="14"/>
      <color indexed="18"/>
      <name val="Comic Sans MS"/>
      <family val="4"/>
      <charset val="161"/>
    </font>
    <font>
      <sz val="11"/>
      <name val="Arial"/>
      <family val="2"/>
      <charset val="161"/>
    </font>
    <font>
      <b/>
      <sz val="10"/>
      <color indexed="62"/>
      <name val="Comic Sans MS"/>
      <family val="4"/>
      <charset val="161"/>
    </font>
    <font>
      <u/>
      <sz val="10"/>
      <color indexed="12"/>
      <name val="Arial"/>
      <family val="2"/>
      <charset val="161"/>
    </font>
    <font>
      <b/>
      <sz val="11"/>
      <name val="Comic Sans MS"/>
      <family val="4"/>
      <charset val="161"/>
    </font>
    <font>
      <i/>
      <sz val="11"/>
      <name val="Century Gothic"/>
      <family val="2"/>
      <charset val="161"/>
    </font>
    <font>
      <sz val="12"/>
      <color indexed="9"/>
      <name val="Comic Sans MS"/>
      <family val="4"/>
    </font>
    <font>
      <b/>
      <sz val="10"/>
      <color indexed="19"/>
      <name val="Arial"/>
      <family val="2"/>
      <charset val="161"/>
    </font>
    <font>
      <sz val="10"/>
      <name val="Arial"/>
      <family val="2"/>
      <charset val="161"/>
    </font>
    <font>
      <b/>
      <sz val="10"/>
      <color indexed="19"/>
      <name val="Arial"/>
      <family val="2"/>
      <charset val="161"/>
    </font>
    <font>
      <u/>
      <sz val="10"/>
      <color indexed="12"/>
      <name val="Gill Sans MT"/>
      <family val="2"/>
    </font>
    <font>
      <b/>
      <sz val="14"/>
      <name val="Gill Sans MT"/>
      <family val="2"/>
    </font>
    <font>
      <b/>
      <sz val="12"/>
      <name val="Gill Sans MT"/>
      <family val="2"/>
    </font>
    <font>
      <i/>
      <sz val="11"/>
      <color indexed="8"/>
      <name val="Calibri"/>
      <family val="2"/>
      <charset val="161"/>
    </font>
    <font>
      <b/>
      <sz val="10"/>
      <name val="Gill Sans MT"/>
      <family val="2"/>
    </font>
    <font>
      <b/>
      <u/>
      <sz val="10"/>
      <name val="Gill Sans MT"/>
      <family val="2"/>
    </font>
    <font>
      <sz val="10"/>
      <name val="Verdana"/>
      <family val="2"/>
      <charset val="161"/>
    </font>
    <font>
      <sz val="12"/>
      <name val="Gill Sans MT"/>
      <family val="2"/>
    </font>
    <font>
      <sz val="10"/>
      <name val="Gill Sans MT"/>
      <family val="2"/>
    </font>
    <font>
      <b/>
      <sz val="10"/>
      <color indexed="10"/>
      <name val="Gill Sans MT"/>
      <family val="2"/>
    </font>
    <font>
      <b/>
      <sz val="48"/>
      <name val="Arial Greek"/>
      <family val="2"/>
      <charset val="161"/>
    </font>
    <font>
      <b/>
      <sz val="18"/>
      <name val="Arial"/>
      <family val="2"/>
      <charset val="161"/>
    </font>
    <font>
      <u/>
      <sz val="24"/>
      <name val="Arial Greek"/>
      <charset val="161"/>
    </font>
    <font>
      <b/>
      <sz val="14"/>
      <name val="Comic Sans MS"/>
      <family val="4"/>
      <charset val="161"/>
    </font>
    <font>
      <sz val="14"/>
      <name val="Comic Sans MS"/>
      <family val="4"/>
      <charset val="161"/>
    </font>
    <font>
      <sz val="11"/>
      <name val="Arial Greek"/>
      <charset val="161"/>
    </font>
    <font>
      <sz val="14"/>
      <name val="Comic Sans MS"/>
      <family val="4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4"/>
      <name val="Cambria"/>
      <family val="1"/>
      <charset val="161"/>
      <scheme val="major"/>
    </font>
    <font>
      <sz val="11"/>
      <color theme="1"/>
      <name val="Cambria"/>
      <family val="1"/>
      <charset val="161"/>
      <scheme val="major"/>
    </font>
    <font>
      <i/>
      <sz val="11"/>
      <color theme="1"/>
      <name val="Cambria"/>
      <family val="1"/>
      <charset val="161"/>
      <scheme val="maj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i/>
      <sz val="12"/>
      <color theme="1"/>
      <name val="Calibri"/>
      <family val="2"/>
      <charset val="161"/>
      <scheme val="minor"/>
    </font>
    <font>
      <b/>
      <i/>
      <sz val="12"/>
      <name val="Calibri"/>
      <family val="2"/>
      <charset val="161"/>
      <scheme val="minor"/>
    </font>
    <font>
      <b/>
      <i/>
      <sz val="12"/>
      <color indexed="10"/>
      <name val="Calibri"/>
      <family val="2"/>
      <charset val="161"/>
      <scheme val="minor"/>
    </font>
    <font>
      <b/>
      <i/>
      <sz val="11"/>
      <color theme="3"/>
      <name val="Cambria"/>
      <family val="1"/>
      <charset val="161"/>
      <scheme val="major"/>
    </font>
    <font>
      <i/>
      <sz val="9"/>
      <color theme="1"/>
      <name val="Cambria"/>
      <family val="1"/>
      <charset val="161"/>
      <scheme val="major"/>
    </font>
    <font>
      <sz val="11"/>
      <color theme="1"/>
      <name val="Symbol"/>
      <family val="1"/>
      <charset val="2"/>
    </font>
    <font>
      <sz val="11"/>
      <color theme="0" tint="-4.9989318521683403E-2"/>
      <name val="Calibri"/>
      <family val="2"/>
      <charset val="161"/>
      <scheme val="minor"/>
    </font>
    <font>
      <i/>
      <sz val="11"/>
      <color theme="0" tint="-4.9989318521683403E-2"/>
      <name val="Cambria"/>
      <family val="1"/>
      <charset val="161"/>
      <scheme val="major"/>
    </font>
    <font>
      <b/>
      <i/>
      <sz val="11"/>
      <color theme="0" tint="-4.9989318521683403E-2"/>
      <name val="Calibri"/>
      <family val="2"/>
      <charset val="161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</fills>
  <borders count="6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19"/>
      </left>
      <right/>
      <top style="medium">
        <color indexed="19"/>
      </top>
      <bottom/>
      <diagonal/>
    </border>
    <border>
      <left/>
      <right/>
      <top style="medium">
        <color indexed="19"/>
      </top>
      <bottom/>
      <diagonal/>
    </border>
    <border>
      <left/>
      <right style="medium">
        <color indexed="19"/>
      </right>
      <top style="medium">
        <color indexed="19"/>
      </top>
      <bottom/>
      <diagonal/>
    </border>
    <border>
      <left style="medium">
        <color indexed="19"/>
      </left>
      <right/>
      <top/>
      <bottom/>
      <diagonal/>
    </border>
    <border>
      <left/>
      <right style="medium">
        <color indexed="19"/>
      </right>
      <top/>
      <bottom/>
      <diagonal/>
    </border>
    <border>
      <left style="medium">
        <color indexed="19"/>
      </left>
      <right/>
      <top/>
      <bottom style="medium">
        <color indexed="19"/>
      </bottom>
      <diagonal/>
    </border>
    <border>
      <left/>
      <right/>
      <top/>
      <bottom style="medium">
        <color indexed="19"/>
      </bottom>
      <diagonal/>
    </border>
    <border>
      <left/>
      <right style="medium">
        <color indexed="19"/>
      </right>
      <top/>
      <bottom style="medium">
        <color indexed="1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ck">
        <color indexed="12"/>
      </left>
      <right style="thin">
        <color indexed="22"/>
      </right>
      <top style="thick">
        <color indexed="12"/>
      </top>
      <bottom style="thin">
        <color indexed="22"/>
      </bottom>
      <diagonal/>
    </border>
    <border>
      <left style="thin">
        <color indexed="22"/>
      </left>
      <right style="thick">
        <color indexed="12"/>
      </right>
      <top style="thick">
        <color indexed="12"/>
      </top>
      <bottom style="thin">
        <color indexed="22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ck">
        <color indexed="12"/>
      </right>
      <top style="thin">
        <color indexed="22"/>
      </top>
      <bottom style="thin">
        <color indexed="22"/>
      </bottom>
      <diagonal/>
    </border>
    <border>
      <left style="thick">
        <color indexed="12"/>
      </left>
      <right style="thin">
        <color indexed="22"/>
      </right>
      <top style="thin">
        <color indexed="22"/>
      </top>
      <bottom style="thick">
        <color indexed="12"/>
      </bottom>
      <diagonal/>
    </border>
    <border>
      <left style="thin">
        <color indexed="22"/>
      </left>
      <right style="thick">
        <color indexed="12"/>
      </right>
      <top style="thin">
        <color indexed="22"/>
      </top>
      <bottom style="thick">
        <color indexed="1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43"/>
      </top>
      <bottom style="thin">
        <color indexed="43"/>
      </bottom>
      <diagonal/>
    </border>
    <border>
      <left style="thin">
        <color indexed="64"/>
      </left>
      <right style="thin">
        <color indexed="64"/>
      </right>
      <top style="thin">
        <color indexed="43"/>
      </top>
      <bottom style="thin">
        <color indexed="43"/>
      </bottom>
      <diagonal/>
    </border>
    <border>
      <left style="thin">
        <color indexed="64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/>
      <right/>
      <top style="thin">
        <color indexed="43"/>
      </top>
      <bottom style="thin">
        <color indexed="43"/>
      </bottom>
      <diagonal/>
    </border>
    <border>
      <left/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</borders>
  <cellStyleXfs count="10">
    <xf numFmtId="0" fontId="0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54" fillId="0" borderId="0"/>
    <xf numFmtId="0" fontId="85" fillId="0" borderId="0"/>
    <xf numFmtId="9" fontId="54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</cellStyleXfs>
  <cellXfs count="39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2" fillId="0" borderId="0" xfId="0" applyFont="1"/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21" fillId="2" borderId="4" xfId="0" applyFont="1" applyFill="1" applyBorder="1" applyAlignment="1">
      <alignment textRotation="90" wrapText="1"/>
    </xf>
    <xf numFmtId="0" fontId="22" fillId="2" borderId="4" xfId="0" applyFont="1" applyFill="1" applyBorder="1" applyAlignment="1">
      <alignment horizontal="center" textRotation="90" wrapText="1"/>
    </xf>
    <xf numFmtId="0" fontId="24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25" fillId="3" borderId="6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164" fontId="25" fillId="3" borderId="7" xfId="0" applyNumberFormat="1" applyFont="1" applyFill="1" applyBorder="1" applyAlignment="1">
      <alignment horizontal="center"/>
    </xf>
    <xf numFmtId="0" fontId="26" fillId="6" borderId="4" xfId="0" applyFont="1" applyFill="1" applyBorder="1" applyAlignment="1">
      <alignment horizontal="center" vertical="center" textRotation="90"/>
    </xf>
    <xf numFmtId="0" fontId="30" fillId="7" borderId="2" xfId="0" applyFont="1" applyFill="1" applyBorder="1"/>
    <xf numFmtId="0" fontId="0" fillId="8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0" fillId="7" borderId="7" xfId="0" applyFont="1" applyFill="1" applyBorder="1"/>
    <xf numFmtId="0" fontId="0" fillId="8" borderId="7" xfId="0" applyFill="1" applyBorder="1" applyAlignment="1">
      <alignment horizontal="center" vertical="center"/>
    </xf>
    <xf numFmtId="0" fontId="30" fillId="7" borderId="3" xfId="0" applyFont="1" applyFill="1" applyBorder="1"/>
    <xf numFmtId="0" fontId="19" fillId="4" borderId="6" xfId="0" applyFont="1" applyFill="1" applyBorder="1" applyAlignment="1">
      <alignment horizontal="center" vertical="center"/>
    </xf>
    <xf numFmtId="22" fontId="33" fillId="0" borderId="7" xfId="2" applyNumberFormat="1" applyFont="1" applyBorder="1"/>
    <xf numFmtId="0" fontId="17" fillId="0" borderId="0" xfId="2"/>
    <xf numFmtId="166" fontId="33" fillId="0" borderId="7" xfId="2" applyNumberFormat="1" applyFont="1" applyBorder="1"/>
    <xf numFmtId="0" fontId="32" fillId="9" borderId="7" xfId="2" applyFont="1" applyFill="1" applyBorder="1"/>
    <xf numFmtId="0" fontId="36" fillId="9" borderId="7" xfId="2" applyFont="1" applyFill="1" applyBorder="1"/>
    <xf numFmtId="0" fontId="36" fillId="9" borderId="7" xfId="2" applyFont="1" applyFill="1" applyBorder="1" applyAlignment="1">
      <alignment horizontal="center"/>
    </xf>
    <xf numFmtId="0" fontId="37" fillId="3" borderId="7" xfId="2" applyFont="1" applyFill="1" applyBorder="1" applyAlignment="1">
      <alignment horizontal="center"/>
    </xf>
    <xf numFmtId="0" fontId="35" fillId="9" borderId="7" xfId="2" applyFont="1" applyFill="1" applyBorder="1" applyAlignment="1">
      <alignment horizontal="center"/>
    </xf>
    <xf numFmtId="9" fontId="38" fillId="0" borderId="7" xfId="2" applyNumberFormat="1" applyFont="1" applyBorder="1"/>
    <xf numFmtId="0" fontId="38" fillId="0" borderId="7" xfId="2" applyFont="1" applyBorder="1"/>
    <xf numFmtId="0" fontId="32" fillId="3" borderId="7" xfId="2" applyFont="1" applyFill="1" applyBorder="1" applyAlignment="1">
      <alignment horizontal="center"/>
    </xf>
    <xf numFmtId="1" fontId="39" fillId="10" borderId="9" xfId="2" applyNumberFormat="1" applyFont="1" applyFill="1" applyBorder="1" applyAlignment="1">
      <alignment horizontal="center" wrapText="1"/>
    </xf>
    <xf numFmtId="0" fontId="17" fillId="5" borderId="6" xfId="2" applyFill="1" applyBorder="1" applyAlignment="1">
      <alignment horizontal="center"/>
    </xf>
    <xf numFmtId="0" fontId="17" fillId="0" borderId="0" xfId="2" applyAlignment="1">
      <alignment horizontal="center"/>
    </xf>
    <xf numFmtId="0" fontId="40" fillId="6" borderId="4" xfId="0" applyFont="1" applyFill="1" applyBorder="1" applyAlignment="1">
      <alignment horizontal="center"/>
    </xf>
    <xf numFmtId="0" fontId="40" fillId="6" borderId="4" xfId="0" applyFont="1" applyFill="1" applyBorder="1" applyAlignment="1">
      <alignment horizontal="center" wrapText="1"/>
    </xf>
    <xf numFmtId="0" fontId="41" fillId="0" borderId="2" xfId="0" applyFont="1" applyBorder="1" applyAlignment="1">
      <alignment horizontal="center"/>
    </xf>
    <xf numFmtId="0" fontId="41" fillId="11" borderId="2" xfId="0" applyFont="1" applyFill="1" applyBorder="1" applyAlignment="1">
      <alignment horizontal="center"/>
    </xf>
    <xf numFmtId="0" fontId="42" fillId="4" borderId="2" xfId="0" applyFont="1" applyFill="1" applyBorder="1" applyAlignment="1">
      <alignment horizontal="center"/>
    </xf>
    <xf numFmtId="0" fontId="41" fillId="0" borderId="7" xfId="0" applyFont="1" applyBorder="1" applyAlignment="1">
      <alignment horizontal="center"/>
    </xf>
    <xf numFmtId="0" fontId="41" fillId="11" borderId="7" xfId="0" applyFont="1" applyFill="1" applyBorder="1" applyAlignment="1">
      <alignment horizontal="center"/>
    </xf>
    <xf numFmtId="0" fontId="42" fillId="4" borderId="7" xfId="0" applyFont="1" applyFill="1" applyBorder="1" applyAlignment="1">
      <alignment horizontal="center"/>
    </xf>
    <xf numFmtId="0" fontId="44" fillId="3" borderId="7" xfId="0" applyFont="1" applyFill="1" applyBorder="1"/>
    <xf numFmtId="0" fontId="45" fillId="12" borderId="10" xfId="0" applyFont="1" applyFill="1" applyBorder="1"/>
    <xf numFmtId="0" fontId="45" fillId="12" borderId="11" xfId="0" applyFont="1" applyFill="1" applyBorder="1"/>
    <xf numFmtId="0" fontId="46" fillId="12" borderId="11" xfId="0" applyFont="1" applyFill="1" applyBorder="1" applyAlignment="1">
      <alignment horizontal="center"/>
    </xf>
    <xf numFmtId="0" fontId="45" fillId="12" borderId="12" xfId="0" applyFont="1" applyFill="1" applyBorder="1"/>
    <xf numFmtId="0" fontId="45" fillId="12" borderId="13" xfId="0" applyFont="1" applyFill="1" applyBorder="1"/>
    <xf numFmtId="0" fontId="45" fillId="12" borderId="0" xfId="0" applyFont="1" applyFill="1"/>
    <xf numFmtId="0" fontId="46" fillId="12" borderId="0" xfId="0" applyFont="1" applyFill="1" applyAlignment="1">
      <alignment horizontal="center"/>
    </xf>
    <xf numFmtId="0" fontId="45" fillId="12" borderId="14" xfId="0" applyFont="1" applyFill="1" applyBorder="1"/>
    <xf numFmtId="0" fontId="47" fillId="12" borderId="0" xfId="0" applyFont="1" applyFill="1" applyAlignment="1">
      <alignment horizontal="center"/>
    </xf>
    <xf numFmtId="0" fontId="45" fillId="12" borderId="0" xfId="0" applyFont="1" applyFill="1" applyAlignment="1">
      <alignment horizontal="center"/>
    </xf>
    <xf numFmtId="0" fontId="48" fillId="12" borderId="0" xfId="0" applyFont="1" applyFill="1" applyAlignment="1">
      <alignment horizontal="center"/>
    </xf>
    <xf numFmtId="0" fontId="45" fillId="12" borderId="15" xfId="0" applyFont="1" applyFill="1" applyBorder="1"/>
    <xf numFmtId="0" fontId="45" fillId="12" borderId="16" xfId="0" applyFont="1" applyFill="1" applyBorder="1"/>
    <xf numFmtId="0" fontId="48" fillId="12" borderId="16" xfId="0" applyFont="1" applyFill="1" applyBorder="1" applyAlignment="1">
      <alignment horizontal="center"/>
    </xf>
    <xf numFmtId="0" fontId="45" fillId="12" borderId="5" xfId="0" applyFont="1" applyFill="1" applyBorder="1"/>
    <xf numFmtId="22" fontId="0" fillId="3" borderId="7" xfId="0" applyNumberFormat="1" applyFill="1" applyBorder="1"/>
    <xf numFmtId="0" fontId="48" fillId="10" borderId="7" xfId="0" applyFont="1" applyFill="1" applyBorder="1"/>
    <xf numFmtId="0" fontId="48" fillId="10" borderId="0" xfId="0" applyFont="1" applyFill="1"/>
    <xf numFmtId="0" fontId="0" fillId="3" borderId="7" xfId="0" applyFill="1" applyBorder="1"/>
    <xf numFmtId="167" fontId="0" fillId="0" borderId="0" xfId="0" applyNumberFormat="1"/>
    <xf numFmtId="167" fontId="11" fillId="10" borderId="17" xfId="0" applyNumberFormat="1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167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7" xfId="0" applyFill="1" applyBorder="1"/>
    <xf numFmtId="0" fontId="49" fillId="0" borderId="0" xfId="4" applyFont="1"/>
    <xf numFmtId="0" fontId="17" fillId="0" borderId="0" xfId="4"/>
    <xf numFmtId="0" fontId="27" fillId="0" borderId="0" xfId="4" applyFont="1"/>
    <xf numFmtId="0" fontId="17" fillId="0" borderId="18" xfId="4" applyBorder="1"/>
    <xf numFmtId="0" fontId="17" fillId="0" borderId="19" xfId="4" applyBorder="1"/>
    <xf numFmtId="0" fontId="17" fillId="0" borderId="6" xfId="4" applyBorder="1"/>
    <xf numFmtId="0" fontId="17" fillId="0" borderId="10" xfId="4" applyBorder="1"/>
    <xf numFmtId="0" fontId="17" fillId="0" borderId="11" xfId="4" applyBorder="1"/>
    <xf numFmtId="0" fontId="17" fillId="0" borderId="12" xfId="4" applyBorder="1"/>
    <xf numFmtId="0" fontId="17" fillId="0" borderId="13" xfId="4" applyBorder="1"/>
    <xf numFmtId="0" fontId="17" fillId="0" borderId="14" xfId="4" applyBorder="1"/>
    <xf numFmtId="0" fontId="17" fillId="0" borderId="15" xfId="4" applyBorder="1"/>
    <xf numFmtId="0" fontId="17" fillId="0" borderId="16" xfId="4" applyBorder="1"/>
    <xf numFmtId="0" fontId="17" fillId="0" borderId="5" xfId="4" applyBorder="1"/>
    <xf numFmtId="0" fontId="27" fillId="13" borderId="20" xfId="4" applyFont="1" applyFill="1" applyBorder="1" applyAlignment="1">
      <alignment horizontal="center"/>
    </xf>
    <xf numFmtId="0" fontId="30" fillId="0" borderId="2" xfId="4" applyFont="1" applyBorder="1"/>
    <xf numFmtId="0" fontId="17" fillId="0" borderId="2" xfId="4" applyBorder="1"/>
    <xf numFmtId="1" fontId="17" fillId="0" borderId="2" xfId="4" applyNumberFormat="1" applyBorder="1"/>
    <xf numFmtId="0" fontId="17" fillId="0" borderId="7" xfId="4" applyBorder="1"/>
    <xf numFmtId="1" fontId="17" fillId="0" borderId="7" xfId="4" applyNumberFormat="1" applyBorder="1"/>
    <xf numFmtId="0" fontId="17" fillId="0" borderId="7" xfId="4" applyBorder="1" applyAlignment="1">
      <alignment horizontal="center"/>
    </xf>
    <xf numFmtId="0" fontId="17" fillId="9" borderId="7" xfId="4" applyFill="1" applyBorder="1"/>
    <xf numFmtId="0" fontId="30" fillId="0" borderId="0" xfId="4" applyFont="1"/>
    <xf numFmtId="0" fontId="27" fillId="0" borderId="0" xfId="4" applyFont="1" applyAlignment="1">
      <alignment horizontal="center"/>
    </xf>
    <xf numFmtId="1" fontId="17" fillId="0" borderId="0" xfId="4" applyNumberFormat="1"/>
    <xf numFmtId="0" fontId="27" fillId="0" borderId="0" xfId="4" applyFont="1" applyAlignment="1">
      <alignment horizontal="right"/>
    </xf>
    <xf numFmtId="0" fontId="52" fillId="0" borderId="0" xfId="4" applyFont="1" applyAlignment="1">
      <alignment horizontal="center"/>
    </xf>
    <xf numFmtId="0" fontId="52" fillId="0" borderId="0" xfId="4" applyFont="1"/>
    <xf numFmtId="0" fontId="27" fillId="0" borderId="7" xfId="4" applyFont="1" applyBorder="1" applyAlignment="1">
      <alignment horizontal="center"/>
    </xf>
    <xf numFmtId="0" fontId="52" fillId="0" borderId="7" xfId="4" applyFont="1" applyBorder="1"/>
    <xf numFmtId="0" fontId="27" fillId="13" borderId="7" xfId="4" applyFont="1" applyFill="1" applyBorder="1"/>
    <xf numFmtId="164" fontId="17" fillId="0" borderId="7" xfId="4" applyNumberFormat="1" applyBorder="1" applyAlignment="1">
      <alignment horizontal="center"/>
    </xf>
    <xf numFmtId="0" fontId="17" fillId="0" borderId="21" xfId="4" applyBorder="1"/>
    <xf numFmtId="0" fontId="19" fillId="0" borderId="0" xfId="5" applyFont="1"/>
    <xf numFmtId="0" fontId="54" fillId="0" borderId="0" xfId="5"/>
    <xf numFmtId="0" fontId="56" fillId="0" borderId="0" xfId="5" applyFont="1"/>
    <xf numFmtId="0" fontId="57" fillId="0" borderId="0" xfId="5" applyFont="1" applyAlignment="1">
      <alignment horizontal="right"/>
    </xf>
    <xf numFmtId="0" fontId="19" fillId="0" borderId="0" xfId="5" applyFont="1" applyAlignment="1">
      <alignment horizontal="right"/>
    </xf>
    <xf numFmtId="0" fontId="54" fillId="0" borderId="0" xfId="5" applyAlignment="1">
      <alignment horizontal="right"/>
    </xf>
    <xf numFmtId="22" fontId="54" fillId="0" borderId="0" xfId="5" applyNumberFormat="1"/>
    <xf numFmtId="14" fontId="54" fillId="0" borderId="0" xfId="5" applyNumberFormat="1"/>
    <xf numFmtId="0" fontId="17" fillId="0" borderId="22" xfId="4" applyBorder="1"/>
    <xf numFmtId="0" fontId="17" fillId="0" borderId="23" xfId="4" applyBorder="1"/>
    <xf numFmtId="0" fontId="17" fillId="0" borderId="24" xfId="4" applyBorder="1"/>
    <xf numFmtId="0" fontId="17" fillId="0" borderId="25" xfId="4" applyBorder="1"/>
    <xf numFmtId="0" fontId="17" fillId="0" borderId="26" xfId="4" applyBorder="1"/>
    <xf numFmtId="0" fontId="59" fillId="0" borderId="0" xfId="4" applyFont="1"/>
    <xf numFmtId="0" fontId="60" fillId="0" borderId="0" xfId="4" applyFont="1"/>
    <xf numFmtId="0" fontId="62" fillId="0" borderId="0" xfId="4" applyFont="1"/>
    <xf numFmtId="0" fontId="63" fillId="0" borderId="0" xfId="4" applyFont="1"/>
    <xf numFmtId="0" fontId="17" fillId="0" borderId="27" xfId="4" applyBorder="1"/>
    <xf numFmtId="0" fontId="17" fillId="0" borderId="28" xfId="4" applyBorder="1"/>
    <xf numFmtId="0" fontId="17" fillId="0" borderId="29" xfId="4" applyBorder="1"/>
    <xf numFmtId="0" fontId="61" fillId="0" borderId="0" xfId="8" applyAlignment="1" applyProtection="1"/>
    <xf numFmtId="0" fontId="65" fillId="3" borderId="7" xfId="4" applyFont="1" applyFill="1" applyBorder="1"/>
    <xf numFmtId="1" fontId="65" fillId="3" borderId="7" xfId="4" applyNumberFormat="1" applyFont="1" applyFill="1" applyBorder="1" applyAlignment="1">
      <alignment horizontal="left" wrapText="1"/>
    </xf>
    <xf numFmtId="1" fontId="65" fillId="3" borderId="7" xfId="4" applyNumberFormat="1" applyFont="1" applyFill="1" applyBorder="1" applyAlignment="1">
      <alignment horizontal="right"/>
    </xf>
    <xf numFmtId="1" fontId="65" fillId="3" borderId="7" xfId="4" applyNumberFormat="1" applyFont="1" applyFill="1" applyBorder="1" applyAlignment="1">
      <alignment horizontal="left"/>
    </xf>
    <xf numFmtId="0" fontId="65" fillId="7" borderId="7" xfId="4" applyFont="1" applyFill="1" applyBorder="1" applyAlignment="1">
      <alignment wrapText="1"/>
    </xf>
    <xf numFmtId="0" fontId="66" fillId="7" borderId="7" xfId="4" applyFont="1" applyFill="1" applyBorder="1" applyAlignment="1">
      <alignment wrapText="1"/>
    </xf>
    <xf numFmtId="1" fontId="66" fillId="0" borderId="7" xfId="4" applyNumberFormat="1" applyFont="1" applyBorder="1" applyAlignment="1">
      <alignment horizontal="right" wrapText="1"/>
    </xf>
    <xf numFmtId="1" fontId="66" fillId="7" borderId="7" xfId="4" applyNumberFormat="1" applyFont="1" applyFill="1" applyBorder="1" applyAlignment="1">
      <alignment horizontal="right" wrapText="1"/>
    </xf>
    <xf numFmtId="0" fontId="17" fillId="0" borderId="0" xfId="4" applyProtection="1">
      <protection locked="0"/>
    </xf>
    <xf numFmtId="0" fontId="67" fillId="0" borderId="7" xfId="4" applyFont="1" applyBorder="1" applyProtection="1">
      <protection locked="0"/>
    </xf>
    <xf numFmtId="0" fontId="17" fillId="0" borderId="7" xfId="4" applyBorder="1" applyProtection="1">
      <protection locked="0"/>
    </xf>
    <xf numFmtId="1" fontId="17" fillId="0" borderId="7" xfId="4" applyNumberFormat="1" applyBorder="1" applyAlignment="1" applyProtection="1">
      <alignment horizontal="right"/>
      <protection locked="0"/>
    </xf>
    <xf numFmtId="0" fontId="67" fillId="0" borderId="0" xfId="4" applyFont="1" applyProtection="1">
      <protection locked="0"/>
    </xf>
    <xf numFmtId="1" fontId="17" fillId="0" borderId="0" xfId="4" applyNumberFormat="1" applyAlignment="1" applyProtection="1">
      <alignment horizontal="right"/>
      <protection locked="0"/>
    </xf>
    <xf numFmtId="0" fontId="87" fillId="0" borderId="0" xfId="6" applyFont="1"/>
    <xf numFmtId="0" fontId="85" fillId="0" borderId="0" xfId="6"/>
    <xf numFmtId="0" fontId="69" fillId="0" borderId="0" xfId="6" applyFont="1" applyAlignment="1">
      <alignment horizontal="left"/>
    </xf>
    <xf numFmtId="0" fontId="70" fillId="0" borderId="0" xfId="6" applyFont="1"/>
    <xf numFmtId="0" fontId="88" fillId="0" borderId="0" xfId="6" applyFont="1"/>
    <xf numFmtId="1" fontId="85" fillId="0" borderId="0" xfId="6" applyNumberFormat="1"/>
    <xf numFmtId="0" fontId="89" fillId="0" borderId="0" xfId="6" applyFont="1"/>
    <xf numFmtId="14" fontId="85" fillId="0" borderId="0" xfId="6" applyNumberFormat="1"/>
    <xf numFmtId="49" fontId="85" fillId="0" borderId="0" xfId="6" applyNumberFormat="1"/>
    <xf numFmtId="2" fontId="85" fillId="0" borderId="0" xfId="6" applyNumberFormat="1"/>
    <xf numFmtId="168" fontId="85" fillId="0" borderId="0" xfId="6" applyNumberFormat="1"/>
    <xf numFmtId="0" fontId="88" fillId="0" borderId="0" xfId="6" applyFont="1" applyAlignment="1">
      <alignment horizontal="center"/>
    </xf>
    <xf numFmtId="0" fontId="86" fillId="0" borderId="0" xfId="6" applyFont="1"/>
    <xf numFmtId="0" fontId="90" fillId="0" borderId="0" xfId="6" applyFont="1" applyAlignment="1">
      <alignment horizontal="left"/>
    </xf>
    <xf numFmtId="0" fontId="91" fillId="0" borderId="0" xfId="6" applyFont="1"/>
    <xf numFmtId="0" fontId="85" fillId="0" borderId="0" xfId="6" applyAlignment="1">
      <alignment horizontal="centerContinuous"/>
    </xf>
    <xf numFmtId="0" fontId="88" fillId="0" borderId="0" xfId="6" applyFont="1" applyAlignment="1">
      <alignment horizontal="centerContinuous"/>
    </xf>
    <xf numFmtId="0" fontId="92" fillId="0" borderId="0" xfId="6" applyFont="1" applyAlignment="1">
      <alignment horizontal="center"/>
    </xf>
    <xf numFmtId="0" fontId="85" fillId="0" borderId="0" xfId="6" applyAlignment="1">
      <alignment horizontal="center" vertical="center"/>
    </xf>
    <xf numFmtId="0" fontId="93" fillId="0" borderId="0" xfId="6" applyFont="1" applyAlignment="1">
      <alignment horizontal="center" vertical="center"/>
    </xf>
    <xf numFmtId="0" fontId="89" fillId="0" borderId="0" xfId="6" applyFont="1" applyAlignment="1">
      <alignment vertical="center" wrapText="1"/>
    </xf>
    <xf numFmtId="0" fontId="85" fillId="0" borderId="0" xfId="6" applyAlignment="1">
      <alignment vertical="center" wrapText="1"/>
    </xf>
    <xf numFmtId="0" fontId="70" fillId="0" borderId="0" xfId="6" quotePrefix="1" applyFont="1" applyAlignment="1">
      <alignment vertical="top"/>
    </xf>
    <xf numFmtId="0" fontId="72" fillId="0" borderId="0" xfId="6" applyFont="1"/>
    <xf numFmtId="0" fontId="72" fillId="0" borderId="30" xfId="6" applyFont="1" applyBorder="1"/>
    <xf numFmtId="0" fontId="85" fillId="0" borderId="31" xfId="6" applyBorder="1"/>
    <xf numFmtId="0" fontId="85" fillId="0" borderId="32" xfId="6" applyBorder="1"/>
    <xf numFmtId="0" fontId="85" fillId="0" borderId="33" xfId="6" applyBorder="1"/>
    <xf numFmtId="0" fontId="85" fillId="0" borderId="34" xfId="6" applyBorder="1"/>
    <xf numFmtId="0" fontId="85" fillId="0" borderId="35" xfId="6" applyBorder="1"/>
    <xf numFmtId="0" fontId="85" fillId="0" borderId="36" xfId="6" applyBorder="1"/>
    <xf numFmtId="0" fontId="85" fillId="0" borderId="37" xfId="6" applyBorder="1"/>
    <xf numFmtId="0" fontId="73" fillId="0" borderId="0" xfId="6" applyFont="1"/>
    <xf numFmtId="0" fontId="85" fillId="0" borderId="0" xfId="6" quotePrefix="1"/>
    <xf numFmtId="0" fontId="94" fillId="0" borderId="0" xfId="6" applyFont="1" applyAlignment="1">
      <alignment horizontal="left"/>
    </xf>
    <xf numFmtId="0" fontId="95" fillId="0" borderId="0" xfId="6" applyFont="1" applyAlignment="1">
      <alignment vertical="top" wrapText="1"/>
    </xf>
    <xf numFmtId="0" fontId="95" fillId="0" borderId="0" xfId="6" applyFont="1" applyAlignment="1">
      <alignment vertical="top"/>
    </xf>
    <xf numFmtId="0" fontId="96" fillId="0" borderId="0" xfId="6" applyFont="1"/>
    <xf numFmtId="0" fontId="97" fillId="0" borderId="0" xfId="6" applyFont="1"/>
    <xf numFmtId="0" fontId="96" fillId="0" borderId="0" xfId="6" applyFont="1" applyAlignment="1">
      <alignment horizontal="center"/>
    </xf>
    <xf numFmtId="0" fontId="98" fillId="0" borderId="0" xfId="6" applyFont="1" applyAlignment="1">
      <alignment horizontal="center" vertical="center"/>
    </xf>
    <xf numFmtId="0" fontId="99" fillId="0" borderId="1" xfId="6" applyFont="1" applyBorder="1" applyAlignment="1">
      <alignment horizontal="center" vertical="center"/>
    </xf>
    <xf numFmtId="0" fontId="100" fillId="0" borderId="1" xfId="6" applyFont="1" applyBorder="1" applyAlignment="1">
      <alignment horizontal="center" vertical="center"/>
    </xf>
    <xf numFmtId="0" fontId="101" fillId="0" borderId="0" xfId="6" applyFont="1" applyAlignment="1">
      <alignment horizontal="center"/>
    </xf>
    <xf numFmtId="0" fontId="96" fillId="0" borderId="30" xfId="6" applyFont="1" applyBorder="1"/>
    <xf numFmtId="0" fontId="97" fillId="0" borderId="1" xfId="6" applyFont="1" applyBorder="1" applyAlignment="1">
      <alignment horizontal="left"/>
    </xf>
    <xf numFmtId="169" fontId="97" fillId="0" borderId="1" xfId="6" applyNumberFormat="1" applyFont="1" applyBorder="1" applyAlignment="1">
      <alignment horizontal="left"/>
    </xf>
    <xf numFmtId="0" fontId="85" fillId="0" borderId="1" xfId="6" quotePrefix="1" applyBorder="1"/>
    <xf numFmtId="0" fontId="102" fillId="0" borderId="0" xfId="6" quotePrefix="1" applyFont="1"/>
    <xf numFmtId="0" fontId="74" fillId="0" borderId="7" xfId="6" applyFont="1" applyBorder="1" applyAlignment="1">
      <alignment horizontal="center" vertical="center"/>
    </xf>
    <xf numFmtId="0" fontId="74" fillId="0" borderId="7" xfId="6" applyFont="1" applyBorder="1" applyAlignment="1">
      <alignment horizontal="left" vertical="center" wrapText="1"/>
    </xf>
    <xf numFmtId="0" fontId="102" fillId="0" borderId="0" xfId="6" applyFont="1"/>
    <xf numFmtId="169" fontId="97" fillId="0" borderId="0" xfId="6" applyNumberFormat="1" applyFont="1" applyAlignment="1">
      <alignment horizontal="left"/>
    </xf>
    <xf numFmtId="0" fontId="97" fillId="0" borderId="38" xfId="6" applyFont="1" applyBorder="1" applyAlignment="1">
      <alignment horizontal="left"/>
    </xf>
    <xf numFmtId="0" fontId="75" fillId="0" borderId="0" xfId="6" applyFont="1" applyAlignment="1">
      <alignment vertical="top" wrapText="1"/>
    </xf>
    <xf numFmtId="0" fontId="75" fillId="0" borderId="0" xfId="6" applyFont="1" applyAlignment="1">
      <alignment vertical="top"/>
    </xf>
    <xf numFmtId="0" fontId="76" fillId="0" borderId="0" xfId="6" applyFont="1"/>
    <xf numFmtId="0" fontId="27" fillId="0" borderId="0" xfId="6" applyFont="1" applyAlignment="1">
      <alignment horizontal="center"/>
    </xf>
    <xf numFmtId="0" fontId="27" fillId="0" borderId="1" xfId="6" applyFont="1" applyBorder="1" applyAlignment="1">
      <alignment horizontal="left"/>
    </xf>
    <xf numFmtId="0" fontId="77" fillId="0" borderId="1" xfId="6" applyFont="1" applyBorder="1"/>
    <xf numFmtId="0" fontId="72" fillId="0" borderId="1" xfId="6" applyFont="1" applyBorder="1"/>
    <xf numFmtId="0" fontId="76" fillId="0" borderId="1" xfId="6" applyFont="1" applyBorder="1" applyAlignment="1">
      <alignment horizontal="left"/>
    </xf>
    <xf numFmtId="169" fontId="76" fillId="0" borderId="1" xfId="6" applyNumberFormat="1" applyFont="1" applyBorder="1" applyAlignment="1">
      <alignment horizontal="left"/>
    </xf>
    <xf numFmtId="0" fontId="85" fillId="0" borderId="1" xfId="6" applyBorder="1"/>
    <xf numFmtId="169" fontId="76" fillId="0" borderId="0" xfId="6" applyNumberFormat="1" applyFont="1" applyAlignment="1">
      <alignment horizontal="left"/>
    </xf>
    <xf numFmtId="0" fontId="103" fillId="0" borderId="0" xfId="6" applyFont="1"/>
    <xf numFmtId="20" fontId="85" fillId="0" borderId="0" xfId="6" applyNumberFormat="1"/>
    <xf numFmtId="170" fontId="85" fillId="0" borderId="0" xfId="6" applyNumberFormat="1"/>
    <xf numFmtId="22" fontId="85" fillId="0" borderId="0" xfId="6" applyNumberFormat="1"/>
    <xf numFmtId="171" fontId="85" fillId="0" borderId="0" xfId="6" applyNumberFormat="1"/>
    <xf numFmtId="0" fontId="85" fillId="0" borderId="0" xfId="6" applyProtection="1">
      <protection hidden="1"/>
    </xf>
    <xf numFmtId="0" fontId="85" fillId="0" borderId="0" xfId="6" applyAlignment="1" applyProtection="1">
      <alignment horizontal="center"/>
      <protection hidden="1"/>
    </xf>
    <xf numFmtId="12" fontId="85" fillId="0" borderId="0" xfId="6" applyNumberFormat="1"/>
    <xf numFmtId="0" fontId="85" fillId="0" borderId="0" xfId="6" applyAlignment="1" applyProtection="1">
      <alignment horizontal="right"/>
      <protection hidden="1"/>
    </xf>
    <xf numFmtId="0" fontId="2" fillId="0" borderId="0" xfId="3"/>
    <xf numFmtId="0" fontId="5" fillId="0" borderId="0" xfId="3" applyFont="1"/>
    <xf numFmtId="0" fontId="2" fillId="14" borderId="39" xfId="3" applyFill="1" applyBorder="1"/>
    <xf numFmtId="0" fontId="78" fillId="0" borderId="0" xfId="5" applyFont="1"/>
    <xf numFmtId="0" fontId="55" fillId="0" borderId="0" xfId="5" applyFont="1" applyAlignment="1">
      <alignment wrapText="1"/>
    </xf>
    <xf numFmtId="0" fontId="54" fillId="0" borderId="40" xfId="5" applyBorder="1"/>
    <xf numFmtId="0" fontId="54" fillId="0" borderId="41" xfId="5" applyBorder="1"/>
    <xf numFmtId="0" fontId="54" fillId="0" borderId="41" xfId="5" applyBorder="1" applyAlignment="1">
      <alignment horizontal="right"/>
    </xf>
    <xf numFmtId="0" fontId="54" fillId="0" borderId="42" xfId="5" applyBorder="1" applyAlignment="1">
      <alignment horizontal="right"/>
    </xf>
    <xf numFmtId="0" fontId="85" fillId="0" borderId="43" xfId="6" applyBorder="1"/>
    <xf numFmtId="0" fontId="85" fillId="0" borderId="44" xfId="6" applyBorder="1"/>
    <xf numFmtId="0" fontId="85" fillId="0" borderId="45" xfId="6" applyBorder="1"/>
    <xf numFmtId="0" fontId="66" fillId="0" borderId="0" xfId="3" applyFont="1"/>
    <xf numFmtId="0" fontId="66" fillId="0" borderId="7" xfId="4" quotePrefix="1" applyFont="1" applyBorder="1" applyAlignment="1">
      <alignment horizontal="center"/>
    </xf>
    <xf numFmtId="0" fontId="66" fillId="0" borderId="2" xfId="4" quotePrefix="1" applyFont="1" applyBorder="1" applyAlignment="1">
      <alignment horizontal="center"/>
    </xf>
    <xf numFmtId="0" fontId="66" fillId="0" borderId="0" xfId="4" applyFont="1"/>
    <xf numFmtId="0" fontId="104" fillId="0" borderId="0" xfId="6" applyFont="1"/>
    <xf numFmtId="0" fontId="105" fillId="0" borderId="0" xfId="6" applyFont="1" applyAlignment="1">
      <alignment horizontal="center"/>
    </xf>
    <xf numFmtId="0" fontId="106" fillId="0" borderId="0" xfId="6" quotePrefix="1" applyFont="1" applyAlignment="1">
      <alignment vertical="center"/>
    </xf>
    <xf numFmtId="0" fontId="106" fillId="0" borderId="0" xfId="6" quotePrefix="1" applyFont="1"/>
    <xf numFmtId="0" fontId="81" fillId="0" borderId="46" xfId="5" applyFont="1" applyBorder="1" applyAlignment="1">
      <alignment horizontal="center"/>
    </xf>
    <xf numFmtId="0" fontId="81" fillId="0" borderId="47" xfId="5" applyFont="1" applyBorder="1" applyAlignment="1">
      <alignment horizontal="center"/>
    </xf>
    <xf numFmtId="0" fontId="81" fillId="0" borderId="48" xfId="5" applyFont="1" applyBorder="1" applyAlignment="1">
      <alignment horizontal="center"/>
    </xf>
    <xf numFmtId="0" fontId="82" fillId="0" borderId="49" xfId="5" applyFont="1" applyBorder="1" applyAlignment="1">
      <alignment horizontal="center"/>
    </xf>
    <xf numFmtId="0" fontId="82" fillId="0" borderId="2" xfId="5" applyFont="1" applyBorder="1" applyAlignment="1">
      <alignment horizontal="center"/>
    </xf>
    <xf numFmtId="0" fontId="82" fillId="0" borderId="50" xfId="5" applyFont="1" applyBorder="1" applyAlignment="1">
      <alignment horizontal="center"/>
    </xf>
    <xf numFmtId="0" fontId="82" fillId="0" borderId="7" xfId="5" applyFont="1" applyBorder="1" applyAlignment="1">
      <alignment horizontal="center"/>
    </xf>
    <xf numFmtId="0" fontId="82" fillId="0" borderId="51" xfId="5" applyFont="1" applyBorder="1" applyAlignment="1">
      <alignment horizontal="center"/>
    </xf>
    <xf numFmtId="0" fontId="82" fillId="0" borderId="52" xfId="5" applyFont="1" applyBorder="1" applyAlignment="1">
      <alignment horizontal="center"/>
    </xf>
    <xf numFmtId="0" fontId="62" fillId="0" borderId="46" xfId="5" applyFont="1" applyBorder="1" applyAlignment="1">
      <alignment horizontal="center"/>
    </xf>
    <xf numFmtId="0" fontId="62" fillId="0" borderId="47" xfId="5" applyFont="1" applyBorder="1" applyAlignment="1">
      <alignment horizontal="center"/>
    </xf>
    <xf numFmtId="0" fontId="62" fillId="0" borderId="48" xfId="5" applyFont="1" applyBorder="1" applyAlignment="1">
      <alignment horizontal="center"/>
    </xf>
    <xf numFmtId="0" fontId="83" fillId="0" borderId="0" xfId="5" applyFont="1"/>
    <xf numFmtId="0" fontId="84" fillId="0" borderId="2" xfId="5" applyFont="1" applyBorder="1" applyAlignment="1">
      <alignment horizontal="center"/>
    </xf>
    <xf numFmtId="0" fontId="84" fillId="0" borderId="53" xfId="5" applyFont="1" applyBorder="1" applyAlignment="1">
      <alignment horizontal="center"/>
    </xf>
    <xf numFmtId="172" fontId="85" fillId="0" borderId="0" xfId="6" applyNumberFormat="1"/>
    <xf numFmtId="44" fontId="85" fillId="0" borderId="0" xfId="6" applyNumberFormat="1"/>
    <xf numFmtId="10" fontId="85" fillId="0" borderId="0" xfId="6" applyNumberFormat="1"/>
    <xf numFmtId="11" fontId="85" fillId="0" borderId="0" xfId="6" applyNumberFormat="1"/>
    <xf numFmtId="6" fontId="85" fillId="0" borderId="0" xfId="6" applyNumberFormat="1"/>
    <xf numFmtId="173" fontId="85" fillId="0" borderId="0" xfId="6" applyNumberFormat="1"/>
    <xf numFmtId="0" fontId="85" fillId="0" borderId="0" xfId="6" applyAlignment="1">
      <alignment horizontal="left" vertical="top" indent="3"/>
    </xf>
    <xf numFmtId="174" fontId="66" fillId="0" borderId="2" xfId="4" quotePrefix="1" applyNumberFormat="1" applyFont="1" applyBorder="1"/>
    <xf numFmtId="0" fontId="68" fillId="0" borderId="0" xfId="9" applyAlignment="1" applyProtection="1">
      <alignment horizontal="center"/>
    </xf>
    <xf numFmtId="0" fontId="54" fillId="0" borderId="0" xfId="5" applyAlignment="1">
      <alignment horizontal="right"/>
    </xf>
    <xf numFmtId="0" fontId="55" fillId="0" borderId="0" xfId="5" applyFont="1" applyAlignment="1">
      <alignment horizontal="center" wrapText="1"/>
    </xf>
    <xf numFmtId="0" fontId="80" fillId="0" borderId="21" xfId="5" applyFont="1" applyBorder="1" applyAlignment="1">
      <alignment horizontal="center"/>
    </xf>
    <xf numFmtId="0" fontId="50" fillId="0" borderId="21" xfId="4" applyFont="1" applyBorder="1" applyAlignment="1">
      <alignment horizontal="center"/>
    </xf>
    <xf numFmtId="0" fontId="27" fillId="13" borderId="7" xfId="4" applyFont="1" applyFill="1" applyBorder="1" applyAlignment="1">
      <alignment horizontal="center"/>
    </xf>
    <xf numFmtId="0" fontId="17" fillId="0" borderId="7" xfId="4" applyBorder="1" applyAlignment="1">
      <alignment horizontal="center"/>
    </xf>
    <xf numFmtId="0" fontId="50" fillId="0" borderId="0" xfId="4" applyFont="1" applyAlignment="1">
      <alignment horizontal="center"/>
    </xf>
    <xf numFmtId="0" fontId="27" fillId="0" borderId="7" xfId="4" applyFont="1" applyBorder="1" applyAlignment="1">
      <alignment horizontal="center"/>
    </xf>
    <xf numFmtId="0" fontId="51" fillId="0" borderId="0" xfId="4" applyFont="1" applyAlignment="1">
      <alignment horizontal="center"/>
    </xf>
    <xf numFmtId="0" fontId="53" fillId="0" borderId="44" xfId="4" applyFont="1" applyBorder="1" applyAlignment="1">
      <alignment horizontal="center"/>
    </xf>
    <xf numFmtId="0" fontId="53" fillId="0" borderId="54" xfId="4" applyFont="1" applyBorder="1" applyAlignment="1">
      <alignment horizontal="center"/>
    </xf>
    <xf numFmtId="0" fontId="53" fillId="0" borderId="0" xfId="4" applyFont="1" applyAlignment="1">
      <alignment horizontal="center"/>
    </xf>
    <xf numFmtId="0" fontId="53" fillId="0" borderId="55" xfId="4" applyFont="1" applyBorder="1" applyAlignment="1">
      <alignment horizontal="center"/>
    </xf>
    <xf numFmtId="0" fontId="18" fillId="6" borderId="4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textRotation="90"/>
    </xf>
    <xf numFmtId="0" fontId="27" fillId="4" borderId="56" xfId="0" applyFont="1" applyFill="1" applyBorder="1" applyAlignment="1">
      <alignment horizontal="center" vertical="center" textRotation="90"/>
    </xf>
    <xf numFmtId="0" fontId="27" fillId="4" borderId="2" xfId="0" applyFont="1" applyFill="1" applyBorder="1" applyAlignment="1">
      <alignment horizontal="center" vertical="center" textRotation="90"/>
    </xf>
    <xf numFmtId="0" fontId="31" fillId="6" borderId="57" xfId="0" applyFont="1" applyFill="1" applyBorder="1" applyAlignment="1">
      <alignment horizontal="right" vertical="center"/>
    </xf>
    <xf numFmtId="0" fontId="31" fillId="6" borderId="58" xfId="0" applyFont="1" applyFill="1" applyBorder="1" applyAlignment="1">
      <alignment horizontal="right" vertical="center"/>
    </xf>
    <xf numFmtId="0" fontId="31" fillId="6" borderId="59" xfId="0" applyFont="1" applyFill="1" applyBorder="1" applyAlignment="1">
      <alignment horizontal="right" vertical="center"/>
    </xf>
    <xf numFmtId="0" fontId="31" fillId="6" borderId="60" xfId="0" applyFont="1" applyFill="1" applyBorder="1" applyAlignment="1">
      <alignment horizontal="right" vertical="center"/>
    </xf>
    <xf numFmtId="0" fontId="31" fillId="6" borderId="61" xfId="0" applyFont="1" applyFill="1" applyBorder="1" applyAlignment="1">
      <alignment horizontal="right" vertical="center"/>
    </xf>
    <xf numFmtId="0" fontId="31" fillId="6" borderId="57" xfId="0" applyFont="1" applyFill="1" applyBorder="1" applyAlignment="1">
      <alignment horizontal="right"/>
    </xf>
    <xf numFmtId="0" fontId="31" fillId="6" borderId="58" xfId="0" applyFont="1" applyFill="1" applyBorder="1" applyAlignment="1">
      <alignment horizontal="right"/>
    </xf>
    <xf numFmtId="0" fontId="31" fillId="6" borderId="59" xfId="0" applyFont="1" applyFill="1" applyBorder="1" applyAlignment="1">
      <alignment horizontal="right"/>
    </xf>
    <xf numFmtId="0" fontId="18" fillId="6" borderId="4" xfId="0" applyFont="1" applyFill="1" applyBorder="1" applyAlignment="1">
      <alignment horizontal="center" vertical="center" textRotation="42"/>
    </xf>
    <xf numFmtId="0" fontId="29" fillId="6" borderId="4" xfId="0" applyFont="1" applyFill="1" applyBorder="1" applyAlignment="1">
      <alignment horizontal="center" vertical="center"/>
    </xf>
    <xf numFmtId="164" fontId="27" fillId="3" borderId="6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right" vertical="center" wrapText="1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top" wrapText="1"/>
    </xf>
    <xf numFmtId="165" fontId="19" fillId="3" borderId="6" xfId="0" applyNumberFormat="1" applyFont="1" applyFill="1" applyBorder="1" applyAlignment="1">
      <alignment horizontal="center" vertical="center"/>
    </xf>
    <xf numFmtId="165" fontId="19" fillId="3" borderId="7" xfId="0" applyNumberFormat="1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textRotation="90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40" fillId="6" borderId="4" xfId="0" applyFont="1" applyFill="1" applyBorder="1" applyAlignment="1">
      <alignment horizontal="center" vertical="center"/>
    </xf>
    <xf numFmtId="0" fontId="89" fillId="0" borderId="0" xfId="6" applyFont="1" applyAlignment="1">
      <alignment vertical="center" wrapText="1"/>
    </xf>
    <xf numFmtId="0" fontId="11" fillId="10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0" fontId="0" fillId="0" borderId="0" xfId="0"/>
    <xf numFmtId="0" fontId="11" fillId="10" borderId="17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textRotation="90"/>
    </xf>
    <xf numFmtId="0" fontId="0" fillId="0" borderId="56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textRotation="90"/>
    </xf>
    <xf numFmtId="0" fontId="7" fillId="6" borderId="4" xfId="0" applyFont="1" applyFill="1" applyBorder="1" applyAlignment="1">
      <alignment horizontal="center" textRotation="90"/>
    </xf>
    <xf numFmtId="0" fontId="79" fillId="0" borderId="0" xfId="0" applyFont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5" fillId="16" borderId="2" xfId="0" applyFont="1" applyFill="1" applyBorder="1" applyAlignment="1">
      <alignment textRotation="90"/>
    </xf>
    <xf numFmtId="0" fontId="5" fillId="16" borderId="7" xfId="0" applyFont="1" applyFill="1" applyBorder="1" applyAlignment="1">
      <alignment textRotation="90"/>
    </xf>
    <xf numFmtId="0" fontId="5" fillId="15" borderId="2" xfId="0" applyFont="1" applyFill="1" applyBorder="1" applyAlignment="1">
      <alignment textRotation="90"/>
    </xf>
    <xf numFmtId="0" fontId="5" fillId="15" borderId="7" xfId="0" applyFont="1" applyFill="1" applyBorder="1" applyAlignment="1">
      <alignment textRotation="90"/>
    </xf>
    <xf numFmtId="0" fontId="5" fillId="17" borderId="56" xfId="0" applyFont="1" applyFill="1" applyBorder="1" applyAlignment="1">
      <alignment textRotation="90"/>
    </xf>
    <xf numFmtId="0" fontId="5" fillId="17" borderId="2" xfId="0" applyFont="1" applyFill="1" applyBorder="1" applyAlignment="1">
      <alignment textRotation="90"/>
    </xf>
    <xf numFmtId="0" fontId="32" fillId="3" borderId="18" xfId="2" applyFont="1" applyFill="1" applyBorder="1" applyAlignment="1">
      <alignment horizontal="center"/>
    </xf>
    <xf numFmtId="0" fontId="32" fillId="3" borderId="6" xfId="2" applyFont="1" applyFill="1" applyBorder="1" applyAlignment="1">
      <alignment horizontal="center"/>
    </xf>
    <xf numFmtId="0" fontId="32" fillId="9" borderId="7" xfId="2" applyFont="1" applyFill="1" applyBorder="1" applyAlignment="1">
      <alignment horizontal="right"/>
    </xf>
    <xf numFmtId="0" fontId="34" fillId="9" borderId="7" xfId="2" applyFont="1" applyFill="1" applyBorder="1" applyAlignment="1">
      <alignment horizontal="center"/>
    </xf>
    <xf numFmtId="0" fontId="35" fillId="3" borderId="18" xfId="2" applyFont="1" applyFill="1" applyBorder="1" applyAlignment="1">
      <alignment horizontal="center"/>
    </xf>
    <xf numFmtId="0" fontId="35" fillId="3" borderId="19" xfId="2" applyFont="1" applyFill="1" applyBorder="1" applyAlignment="1">
      <alignment horizontal="center"/>
    </xf>
    <xf numFmtId="0" fontId="35" fillId="3" borderId="6" xfId="2" applyFont="1" applyFill="1" applyBorder="1" applyAlignment="1">
      <alignment horizontal="center"/>
    </xf>
    <xf numFmtId="0" fontId="32" fillId="3" borderId="10" xfId="2" applyFont="1" applyFill="1" applyBorder="1" applyAlignment="1">
      <alignment horizontal="center"/>
    </xf>
    <xf numFmtId="0" fontId="32" fillId="3" borderId="11" xfId="2" applyFont="1" applyFill="1" applyBorder="1" applyAlignment="1">
      <alignment horizontal="center"/>
    </xf>
    <xf numFmtId="0" fontId="32" fillId="3" borderId="12" xfId="2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48" fillId="10" borderId="7" xfId="0" applyFont="1" applyFill="1" applyBorder="1" applyAlignment="1">
      <alignment horizontal="center"/>
    </xf>
    <xf numFmtId="0" fontId="11" fillId="10" borderId="62" xfId="0" applyFont="1" applyFill="1" applyBorder="1" applyAlignment="1">
      <alignment horizontal="center" vertical="center" wrapText="1"/>
    </xf>
    <xf numFmtId="0" fontId="11" fillId="10" borderId="63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43" fillId="3" borderId="10" xfId="0" applyFont="1" applyFill="1" applyBorder="1" applyAlignment="1">
      <alignment horizontal="center" vertical="center"/>
    </xf>
    <xf numFmtId="0" fontId="43" fillId="3" borderId="11" xfId="0" applyFont="1" applyFill="1" applyBorder="1" applyAlignment="1">
      <alignment horizontal="center" vertical="center"/>
    </xf>
    <xf numFmtId="0" fontId="43" fillId="3" borderId="12" xfId="0" applyFont="1" applyFill="1" applyBorder="1" applyAlignment="1">
      <alignment horizontal="center" vertical="center"/>
    </xf>
    <xf numFmtId="0" fontId="43" fillId="3" borderId="15" xfId="0" applyFont="1" applyFill="1" applyBorder="1" applyAlignment="1">
      <alignment horizontal="center" vertical="center"/>
    </xf>
    <xf numFmtId="0" fontId="43" fillId="3" borderId="16" xfId="0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58" fillId="0" borderId="0" xfId="4" applyFont="1" applyAlignment="1">
      <alignment horizontal="center"/>
    </xf>
    <xf numFmtId="0" fontId="58" fillId="0" borderId="28" xfId="4" applyFont="1" applyBorder="1" applyAlignment="1">
      <alignment horizontal="center"/>
    </xf>
    <xf numFmtId="0" fontId="61" fillId="0" borderId="0" xfId="8" applyBorder="1" applyAlignment="1" applyProtection="1">
      <alignment horizontal="center"/>
    </xf>
    <xf numFmtId="0" fontId="64" fillId="11" borderId="16" xfId="4" applyFont="1" applyFill="1" applyBorder="1" applyAlignment="1">
      <alignment horizontal="center"/>
    </xf>
  </cellXfs>
  <cellStyles count="10">
    <cellStyle name="Hyperlink" xfId="8" builtinId="8"/>
    <cellStyle name="Normal" xfId="0" builtinId="0"/>
    <cellStyle name="Βασικό_Aeroporika eisithria" xfId="1" xr:uid="{C19A342D-18E8-4C20-B56D-07AF48F8C01E}"/>
    <cellStyle name="Βασικό_LOTTO" xfId="2" xr:uid="{BCA2C13F-A702-46EA-939B-C3016BB1AF0F}"/>
    <cellStyle name="Βασικό_θεωρητική int - round" xfId="3" xr:uid="{D3479FD6-C21A-4E93-9665-230D65F67C3F}"/>
    <cellStyle name="Κανονικό 2" xfId="4" xr:uid="{B5E540F0-1030-4D70-BC6A-0AEE04205752}"/>
    <cellStyle name="Κανονικό 3" xfId="5" xr:uid="{5132E900-ABAB-44C6-B84D-D60B53F0E7A1}"/>
    <cellStyle name="Κανονικό 4" xfId="6" xr:uid="{61D8F6E4-6685-48E7-85F1-42ADC9F81A62}"/>
    <cellStyle name="Ποσοστό 2" xfId="7" xr:uid="{EEDC8A7D-3F70-45C0-9697-4FF245767031}"/>
    <cellStyle name="Υπερ-σύνδεση 2" xfId="9" xr:uid="{033893E7-A961-41BD-BEAB-78D9FC2EDBA8}"/>
  </cellStyles>
  <dxfs count="9">
    <dxf>
      <font>
        <b val="0"/>
        <i val="0"/>
        <condense val="0"/>
        <extend val="0"/>
        <color indexed="12"/>
      </font>
      <fill>
        <patternFill patternType="solid">
          <bgColor indexed="22"/>
        </patternFill>
      </fill>
    </dxf>
    <dxf>
      <font>
        <b val="0"/>
        <i val="0"/>
        <condense val="0"/>
        <extend val="0"/>
        <color indexed="17"/>
      </font>
      <fill>
        <patternFill patternType="solid">
          <bgColor indexed="22"/>
        </patternFill>
      </fill>
    </dxf>
    <dxf>
      <font>
        <b val="0"/>
        <i val="0"/>
        <condense val="0"/>
        <extend val="0"/>
        <color indexed="10"/>
      </font>
      <fill>
        <patternFill patternType="solid">
          <bgColor indexed="22"/>
        </patternFill>
      </fill>
    </dxf>
    <dxf>
      <fill>
        <patternFill>
          <bgColor indexed="53"/>
        </patternFill>
      </fill>
    </dxf>
    <dxf>
      <fill>
        <patternFill>
          <bgColor indexed="15"/>
        </patternFill>
      </fill>
    </dxf>
    <dxf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53"/>
        </patternFill>
      </fill>
    </dxf>
    <dxf>
      <font>
        <condense val="0"/>
        <extend val="0"/>
        <color auto="1"/>
      </font>
      <fill>
        <patternFill>
          <bgColor indexed="15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wmf"/><Relationship Id="rId1" Type="http://schemas.openxmlformats.org/officeDocument/2006/relationships/image" Target="../media/image6.w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wmf"/><Relationship Id="rId1" Type="http://schemas.openxmlformats.org/officeDocument/2006/relationships/image" Target="../media/image9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152400</xdr:rowOff>
    </xdr:from>
    <xdr:to>
      <xdr:col>10</xdr:col>
      <xdr:colOff>161925</xdr:colOff>
      <xdr:row>20</xdr:row>
      <xdr:rowOff>171450</xdr:rowOff>
    </xdr:to>
    <xdr:grpSp>
      <xdr:nvGrpSpPr>
        <xdr:cNvPr id="5194" name="9 - Ομάδα">
          <a:extLst>
            <a:ext uri="{FF2B5EF4-FFF2-40B4-BE49-F238E27FC236}">
              <a16:creationId xmlns:a16="http://schemas.microsoft.com/office/drawing/2014/main" id="{7E9215C4-71B9-07C9-2AD9-B48EE2D9E7D0}"/>
            </a:ext>
          </a:extLst>
        </xdr:cNvPr>
        <xdr:cNvGrpSpPr>
          <a:grpSpLocks/>
        </xdr:cNvGrpSpPr>
      </xdr:nvGrpSpPr>
      <xdr:grpSpPr bwMode="auto">
        <a:xfrm>
          <a:off x="3733800" y="914400"/>
          <a:ext cx="3971925" cy="3076575"/>
          <a:chOff x="3676650" y="914400"/>
          <a:chExt cx="4686300" cy="2371725"/>
        </a:xfrm>
      </xdr:grpSpPr>
      <xdr:sp macro="" textlink="">
        <xdr:nvSpPr>
          <xdr:cNvPr id="3" name="2 - TextBox">
            <a:extLst>
              <a:ext uri="{FF2B5EF4-FFF2-40B4-BE49-F238E27FC236}">
                <a16:creationId xmlns:a16="http://schemas.microsoft.com/office/drawing/2014/main" id="{55E15B42-0ADF-8F30-951A-CFE6350CDE15}"/>
              </a:ext>
            </a:extLst>
          </xdr:cNvPr>
          <xdr:cNvSpPr txBox="1"/>
        </xdr:nvSpPr>
        <xdr:spPr bwMode="auto">
          <a:xfrm>
            <a:off x="3676650" y="914400"/>
            <a:ext cx="4686300" cy="2371725"/>
          </a:xfrm>
          <a:prstGeom prst="rect">
            <a:avLst/>
          </a:prstGeom>
          <a:ln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lvl="0"/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1. Σε καθένα από τα κελιά της γραμμής 2 που έχουν δεδομένα πατήστε πάνω</a:t>
            </a:r>
            <a:r>
              <a:rPr lang="el-GR" sz="11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στο κουμπί 		         της Κεντρικής καρτέλας και αλλάξτε τους τύπους δεδομένων σύμφωνα με τις ετικέτες της γραμμής 1.</a:t>
            </a:r>
          </a:p>
          <a:p>
            <a:pPr lvl="0"/>
            <a:endParaRPr lang="el-GR" sz="1100" b="1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r>
              <a:rPr lang="el-GR" sz="11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Συμπέρασμα:  όλα είναι νούμερα στην εσωτερική αναπαράσταση του </a:t>
            </a:r>
            <a:r>
              <a:rPr lang="en-US" sz="11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Excel</a:t>
            </a:r>
            <a:endParaRPr lang="el-GR" sz="1100" b="1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endParaRPr lang="el-GR" sz="1100" b="1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2. Στο κελί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K2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επιλέγετε -&gt; Περισσότερες Μορφές Αριθμών -&gt; Κατηγορία: Προσαρμογή και στο πλαίσιο Τύπος επιλέξτε τον έτοιμο τύπο #.##0 _€;[Κόκκινο]-#.##0 _€ -&gt; ο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k.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Παρατηρήστε τι γίνεται</a:t>
            </a:r>
          </a:p>
          <a:p>
            <a:pPr lvl="0"/>
            <a:endParaRPr lang="el-GR" sz="1100" b="0" baseline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3. Από το κελί Μ2 αντιγράψτε το σύμβολο  ° .  Στο κελί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L2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επιλέγετε -&gt; Περισσότερες Μορφές Αριθμών -&gt; Κατηγορία: Προσαρμογή  και στο πλαίσιο Τύπος πληκτρολογήστε τη μορφή ### ° -&gt; ο</a:t>
            </a:r>
            <a:r>
              <a:rPr lang="en-US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k. </a:t>
            </a:r>
            <a:r>
              <a:rPr lang="el-GR" sz="11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Παρατηρήστε τι γίνεται.</a:t>
            </a:r>
            <a:endParaRPr lang="el-GR" sz="11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endParaRPr lang="el-GR" sz="1100" i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5196" name="Picture 1">
            <a:extLst>
              <a:ext uri="{FF2B5EF4-FFF2-40B4-BE49-F238E27FC236}">
                <a16:creationId xmlns:a16="http://schemas.microsoft.com/office/drawing/2014/main" id="{F3B2EE68-38BE-4722-794E-023E42F4B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52758" y="1099694"/>
            <a:ext cx="1276349" cy="116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171450</xdr:rowOff>
    </xdr:from>
    <xdr:to>
      <xdr:col>13</xdr:col>
      <xdr:colOff>419100</xdr:colOff>
      <xdr:row>13</xdr:row>
      <xdr:rowOff>66675</xdr:rowOff>
    </xdr:to>
    <xdr:grpSp>
      <xdr:nvGrpSpPr>
        <xdr:cNvPr id="6313" name="7 - Ομάδα">
          <a:extLst>
            <a:ext uri="{FF2B5EF4-FFF2-40B4-BE49-F238E27FC236}">
              <a16:creationId xmlns:a16="http://schemas.microsoft.com/office/drawing/2014/main" id="{3C1DE7D1-A6DC-501A-70D9-CDC00A4F786B}"/>
            </a:ext>
          </a:extLst>
        </xdr:cNvPr>
        <xdr:cNvGrpSpPr>
          <a:grpSpLocks/>
        </xdr:cNvGrpSpPr>
      </xdr:nvGrpSpPr>
      <xdr:grpSpPr bwMode="auto">
        <a:xfrm>
          <a:off x="4657725" y="171450"/>
          <a:ext cx="4686300" cy="2390775"/>
          <a:chOff x="4657725" y="171449"/>
          <a:chExt cx="4686300" cy="2371725"/>
        </a:xfrm>
      </xdr:grpSpPr>
      <xdr:sp macro="" textlink="">
        <xdr:nvSpPr>
          <xdr:cNvPr id="3" name="2 - TextBox">
            <a:extLst>
              <a:ext uri="{FF2B5EF4-FFF2-40B4-BE49-F238E27FC236}">
                <a16:creationId xmlns:a16="http://schemas.microsoft.com/office/drawing/2014/main" id="{03B263FE-AA94-B910-0FF3-C26737CCAC09}"/>
              </a:ext>
            </a:extLst>
          </xdr:cNvPr>
          <xdr:cNvSpPr txBox="1"/>
        </xdr:nvSpPr>
        <xdr:spPr>
          <a:xfrm>
            <a:off x="4657725" y="171449"/>
            <a:ext cx="4686300" cy="2371725"/>
          </a:xfrm>
          <a:prstGeom prst="rect">
            <a:avLst/>
          </a:prstGeom>
          <a:ln/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lvl="0"/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1. Στο κελί  </a:t>
            </a:r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Α10  από την καρτέλα Τύποι  και το κουμπί </a:t>
            </a:r>
          </a:p>
          <a:p>
            <a:pPr lvl="0"/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εισάγετε τη συνάρτηση </a:t>
            </a:r>
            <a:r>
              <a:rPr lang="el-GR" sz="1100" b="1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Άθροισμα</a:t>
            </a:r>
            <a:endParaRPr lang="el-GR" sz="12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Τι παρατηρείτε βλέποντας τη γραμμή τύπων για το κελι Α10;</a:t>
            </a:r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2. Στο κελί  </a:t>
            </a:r>
            <a:r>
              <a:rPr lang="en-US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B</a:t>
            </a:r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  από την καρτέλα Τύποι  και το κουμπί </a:t>
            </a:r>
            <a:endParaRPr lang="el-GR"/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εισάγετε τη συνάρτηση </a:t>
            </a:r>
            <a:r>
              <a:rPr lang="el-GR" sz="1100" b="1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Μέσος όρος</a:t>
            </a:r>
            <a:endParaRPr lang="el-GR" sz="11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3. Στο κελί  </a:t>
            </a:r>
            <a:r>
              <a:rPr lang="en-US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C</a:t>
            </a:r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  από την καρτέλα Τύποι  και το κουμπί </a:t>
            </a:r>
            <a:endParaRPr lang="el-GR"/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εισάγετε τη συνάρτηση </a:t>
            </a:r>
            <a:r>
              <a:rPr lang="el-GR" sz="1100" b="1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Καταμέτρηση</a:t>
            </a:r>
            <a:endParaRPr lang="el-GR" sz="11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4. Στο κελί  </a:t>
            </a:r>
            <a:r>
              <a:rPr lang="en-US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D</a:t>
            </a:r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  από την καρτέλα Τύποι  και το κουμπί </a:t>
            </a:r>
            <a:endParaRPr lang="el-GR"/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εισάγετε τη συνάρτηση </a:t>
            </a:r>
            <a:r>
              <a:rPr lang="el-GR" sz="1100" b="1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Μέγιστο</a:t>
            </a:r>
            <a:endParaRPr lang="el-GR" sz="11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5. Στο κελί  </a:t>
            </a:r>
            <a:r>
              <a:rPr lang="en-US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E</a:t>
            </a:r>
            <a:r>
              <a:rPr lang="el-GR" sz="1100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10  από την καρτέλα Τύποι  και το κουμπί </a:t>
            </a:r>
            <a:endParaRPr lang="el-GR"/>
          </a:p>
          <a:p>
            <a:r>
              <a:rPr lang="el-G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εισάγετε τη συνάρτηση </a:t>
            </a:r>
            <a:r>
              <a:rPr lang="el-GR" sz="1100" b="1" i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Ελάχιστο</a:t>
            </a:r>
            <a:endParaRPr lang="el-GR" sz="11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pPr lvl="0"/>
            <a:endParaRPr lang="el-GR" sz="1100" i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6315" name="Picture 3">
            <a:extLst>
              <a:ext uri="{FF2B5EF4-FFF2-40B4-BE49-F238E27FC236}">
                <a16:creationId xmlns:a16="http://schemas.microsoft.com/office/drawing/2014/main" id="{E702A937-4F22-3A3D-A5EE-93FC7828D42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15275" y="219075"/>
            <a:ext cx="1304925" cy="200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16" name="Picture 3">
            <a:extLst>
              <a:ext uri="{FF2B5EF4-FFF2-40B4-BE49-F238E27FC236}">
                <a16:creationId xmlns:a16="http://schemas.microsoft.com/office/drawing/2014/main" id="{9B404322-3556-55BE-C776-9D74254A53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72425" y="714527"/>
            <a:ext cx="1304925" cy="200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17" name="Picture 3">
            <a:extLst>
              <a:ext uri="{FF2B5EF4-FFF2-40B4-BE49-F238E27FC236}">
                <a16:creationId xmlns:a16="http://schemas.microsoft.com/office/drawing/2014/main" id="{2F0A3E4B-3D26-F880-86A8-86E8CB8ABB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34325" y="1047750"/>
            <a:ext cx="1304925" cy="200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18" name="Picture 3">
            <a:extLst>
              <a:ext uri="{FF2B5EF4-FFF2-40B4-BE49-F238E27FC236}">
                <a16:creationId xmlns:a16="http://schemas.microsoft.com/office/drawing/2014/main" id="{3900591F-D95D-9116-B15F-84B6D0A70A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43850" y="1390650"/>
            <a:ext cx="1304925" cy="200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19" name="Picture 3">
            <a:extLst>
              <a:ext uri="{FF2B5EF4-FFF2-40B4-BE49-F238E27FC236}">
                <a16:creationId xmlns:a16="http://schemas.microsoft.com/office/drawing/2014/main" id="{12C223CE-D274-7D92-8138-3D2C6A7777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53375" y="1724025"/>
            <a:ext cx="1304925" cy="200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95250</xdr:rowOff>
    </xdr:from>
    <xdr:to>
      <xdr:col>3</xdr:col>
      <xdr:colOff>581025</xdr:colOff>
      <xdr:row>1</xdr:row>
      <xdr:rowOff>95250</xdr:rowOff>
    </xdr:to>
    <xdr:sp macro="" textlink="">
      <xdr:nvSpPr>
        <xdr:cNvPr id="8430" name="Line 1">
          <a:extLst>
            <a:ext uri="{FF2B5EF4-FFF2-40B4-BE49-F238E27FC236}">
              <a16:creationId xmlns:a16="http://schemas.microsoft.com/office/drawing/2014/main" id="{39421033-E12E-4711-D153-59F764E0EC11}"/>
            </a:ext>
          </a:extLst>
        </xdr:cNvPr>
        <xdr:cNvSpPr>
          <a:spLocks noChangeShapeType="1"/>
        </xdr:cNvSpPr>
      </xdr:nvSpPr>
      <xdr:spPr bwMode="auto">
        <a:xfrm flipH="1">
          <a:off x="2009775" y="26670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2</xdr:row>
      <xdr:rowOff>133350</xdr:rowOff>
    </xdr:from>
    <xdr:to>
      <xdr:col>3</xdr:col>
      <xdr:colOff>561975</xdr:colOff>
      <xdr:row>2</xdr:row>
      <xdr:rowOff>133350</xdr:rowOff>
    </xdr:to>
    <xdr:sp macro="" textlink="">
      <xdr:nvSpPr>
        <xdr:cNvPr id="8431" name="Line 2">
          <a:extLst>
            <a:ext uri="{FF2B5EF4-FFF2-40B4-BE49-F238E27FC236}">
              <a16:creationId xmlns:a16="http://schemas.microsoft.com/office/drawing/2014/main" id="{3AA9B879-0D35-15AD-E67D-570ED7B6E0D0}"/>
            </a:ext>
          </a:extLst>
        </xdr:cNvPr>
        <xdr:cNvSpPr>
          <a:spLocks noChangeShapeType="1"/>
        </xdr:cNvSpPr>
      </xdr:nvSpPr>
      <xdr:spPr bwMode="auto">
        <a:xfrm flipH="1">
          <a:off x="1990725" y="5524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3</xdr:row>
      <xdr:rowOff>123825</xdr:rowOff>
    </xdr:from>
    <xdr:to>
      <xdr:col>3</xdr:col>
      <xdr:colOff>561975</xdr:colOff>
      <xdr:row>3</xdr:row>
      <xdr:rowOff>123825</xdr:rowOff>
    </xdr:to>
    <xdr:sp macro="" textlink="">
      <xdr:nvSpPr>
        <xdr:cNvPr id="8432" name="Line 3">
          <a:extLst>
            <a:ext uri="{FF2B5EF4-FFF2-40B4-BE49-F238E27FC236}">
              <a16:creationId xmlns:a16="http://schemas.microsoft.com/office/drawing/2014/main" id="{99DD7731-E1E5-D86D-4127-B91EBFE9048E}"/>
            </a:ext>
          </a:extLst>
        </xdr:cNvPr>
        <xdr:cNvSpPr>
          <a:spLocks noChangeShapeType="1"/>
        </xdr:cNvSpPr>
      </xdr:nvSpPr>
      <xdr:spPr bwMode="auto">
        <a:xfrm flipH="1">
          <a:off x="1990725" y="790575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161925</xdr:colOff>
      <xdr:row>4</xdr:row>
      <xdr:rowOff>133350</xdr:rowOff>
    </xdr:from>
    <xdr:to>
      <xdr:col>3</xdr:col>
      <xdr:colOff>561975</xdr:colOff>
      <xdr:row>4</xdr:row>
      <xdr:rowOff>133350</xdr:rowOff>
    </xdr:to>
    <xdr:sp macro="" textlink="">
      <xdr:nvSpPr>
        <xdr:cNvPr id="8433" name="Line 4">
          <a:extLst>
            <a:ext uri="{FF2B5EF4-FFF2-40B4-BE49-F238E27FC236}">
              <a16:creationId xmlns:a16="http://schemas.microsoft.com/office/drawing/2014/main" id="{CF5B455A-8ACB-5143-694E-CC995469A962}"/>
            </a:ext>
          </a:extLst>
        </xdr:cNvPr>
        <xdr:cNvSpPr>
          <a:spLocks noChangeShapeType="1"/>
        </xdr:cNvSpPr>
      </xdr:nvSpPr>
      <xdr:spPr bwMode="auto">
        <a:xfrm flipH="1">
          <a:off x="1990725" y="10477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142875</xdr:colOff>
      <xdr:row>13</xdr:row>
      <xdr:rowOff>114300</xdr:rowOff>
    </xdr:from>
    <xdr:to>
      <xdr:col>3</xdr:col>
      <xdr:colOff>542925</xdr:colOff>
      <xdr:row>13</xdr:row>
      <xdr:rowOff>114300</xdr:rowOff>
    </xdr:to>
    <xdr:sp macro="" textlink="">
      <xdr:nvSpPr>
        <xdr:cNvPr id="8434" name="Line 5">
          <a:extLst>
            <a:ext uri="{FF2B5EF4-FFF2-40B4-BE49-F238E27FC236}">
              <a16:creationId xmlns:a16="http://schemas.microsoft.com/office/drawing/2014/main" id="{81905A18-2502-F72F-6235-2B3278E9975C}"/>
            </a:ext>
          </a:extLst>
        </xdr:cNvPr>
        <xdr:cNvSpPr>
          <a:spLocks noChangeShapeType="1"/>
        </xdr:cNvSpPr>
      </xdr:nvSpPr>
      <xdr:spPr bwMode="auto">
        <a:xfrm flipH="1">
          <a:off x="1971675" y="3181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180975</xdr:colOff>
      <xdr:row>1</xdr:row>
      <xdr:rowOff>95250</xdr:rowOff>
    </xdr:from>
    <xdr:to>
      <xdr:col>13</xdr:col>
      <xdr:colOff>581025</xdr:colOff>
      <xdr:row>1</xdr:row>
      <xdr:rowOff>95250</xdr:rowOff>
    </xdr:to>
    <xdr:sp macro="" textlink="">
      <xdr:nvSpPr>
        <xdr:cNvPr id="8435" name="Line 1">
          <a:extLst>
            <a:ext uri="{FF2B5EF4-FFF2-40B4-BE49-F238E27FC236}">
              <a16:creationId xmlns:a16="http://schemas.microsoft.com/office/drawing/2014/main" id="{ABDEA7DC-DA02-AC15-6CE7-69E8289D4806}"/>
            </a:ext>
          </a:extLst>
        </xdr:cNvPr>
        <xdr:cNvSpPr>
          <a:spLocks noChangeShapeType="1"/>
        </xdr:cNvSpPr>
      </xdr:nvSpPr>
      <xdr:spPr bwMode="auto">
        <a:xfrm flipH="1">
          <a:off x="8105775" y="26670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161925</xdr:colOff>
      <xdr:row>2</xdr:row>
      <xdr:rowOff>133350</xdr:rowOff>
    </xdr:from>
    <xdr:to>
      <xdr:col>13</xdr:col>
      <xdr:colOff>561975</xdr:colOff>
      <xdr:row>2</xdr:row>
      <xdr:rowOff>133350</xdr:rowOff>
    </xdr:to>
    <xdr:sp macro="" textlink="">
      <xdr:nvSpPr>
        <xdr:cNvPr id="8436" name="Line 2">
          <a:extLst>
            <a:ext uri="{FF2B5EF4-FFF2-40B4-BE49-F238E27FC236}">
              <a16:creationId xmlns:a16="http://schemas.microsoft.com/office/drawing/2014/main" id="{B0C4D119-5A0A-3010-A616-C515612445A9}"/>
            </a:ext>
          </a:extLst>
        </xdr:cNvPr>
        <xdr:cNvSpPr>
          <a:spLocks noChangeShapeType="1"/>
        </xdr:cNvSpPr>
      </xdr:nvSpPr>
      <xdr:spPr bwMode="auto">
        <a:xfrm flipH="1">
          <a:off x="8086725" y="5524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161925</xdr:colOff>
      <xdr:row>3</xdr:row>
      <xdr:rowOff>123825</xdr:rowOff>
    </xdr:from>
    <xdr:to>
      <xdr:col>13</xdr:col>
      <xdr:colOff>561975</xdr:colOff>
      <xdr:row>3</xdr:row>
      <xdr:rowOff>123825</xdr:rowOff>
    </xdr:to>
    <xdr:sp macro="" textlink="">
      <xdr:nvSpPr>
        <xdr:cNvPr id="8437" name="Line 3">
          <a:extLst>
            <a:ext uri="{FF2B5EF4-FFF2-40B4-BE49-F238E27FC236}">
              <a16:creationId xmlns:a16="http://schemas.microsoft.com/office/drawing/2014/main" id="{1B1F2860-69A5-D83A-FCD3-AA13E19C0DEB}"/>
            </a:ext>
          </a:extLst>
        </xdr:cNvPr>
        <xdr:cNvSpPr>
          <a:spLocks noChangeShapeType="1"/>
        </xdr:cNvSpPr>
      </xdr:nvSpPr>
      <xdr:spPr bwMode="auto">
        <a:xfrm flipH="1">
          <a:off x="8086725" y="790575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161925</xdr:colOff>
      <xdr:row>4</xdr:row>
      <xdr:rowOff>133350</xdr:rowOff>
    </xdr:from>
    <xdr:to>
      <xdr:col>13</xdr:col>
      <xdr:colOff>561975</xdr:colOff>
      <xdr:row>4</xdr:row>
      <xdr:rowOff>133350</xdr:rowOff>
    </xdr:to>
    <xdr:sp macro="" textlink="">
      <xdr:nvSpPr>
        <xdr:cNvPr id="8438" name="Line 4">
          <a:extLst>
            <a:ext uri="{FF2B5EF4-FFF2-40B4-BE49-F238E27FC236}">
              <a16:creationId xmlns:a16="http://schemas.microsoft.com/office/drawing/2014/main" id="{8704BAEC-1538-C134-227E-B80AA127CCAD}"/>
            </a:ext>
          </a:extLst>
        </xdr:cNvPr>
        <xdr:cNvSpPr>
          <a:spLocks noChangeShapeType="1"/>
        </xdr:cNvSpPr>
      </xdr:nvSpPr>
      <xdr:spPr bwMode="auto">
        <a:xfrm flipH="1">
          <a:off x="8086725" y="10477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142875</xdr:colOff>
      <xdr:row>13</xdr:row>
      <xdr:rowOff>114300</xdr:rowOff>
    </xdr:from>
    <xdr:to>
      <xdr:col>13</xdr:col>
      <xdr:colOff>542925</xdr:colOff>
      <xdr:row>13</xdr:row>
      <xdr:rowOff>114300</xdr:rowOff>
    </xdr:to>
    <xdr:sp macro="" textlink="">
      <xdr:nvSpPr>
        <xdr:cNvPr id="8439" name="Line 5">
          <a:extLst>
            <a:ext uri="{FF2B5EF4-FFF2-40B4-BE49-F238E27FC236}">
              <a16:creationId xmlns:a16="http://schemas.microsoft.com/office/drawing/2014/main" id="{9BCF2C21-DCDA-7658-3396-E173F228CDFA}"/>
            </a:ext>
          </a:extLst>
        </xdr:cNvPr>
        <xdr:cNvSpPr>
          <a:spLocks noChangeShapeType="1"/>
        </xdr:cNvSpPr>
      </xdr:nvSpPr>
      <xdr:spPr bwMode="auto">
        <a:xfrm flipH="1">
          <a:off x="8067675" y="3181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605789</xdr:colOff>
      <xdr:row>2</xdr:row>
      <xdr:rowOff>0</xdr:rowOff>
    </xdr:from>
    <xdr:to>
      <xdr:col>17</xdr:col>
      <xdr:colOff>558164</xdr:colOff>
      <xdr:row>18</xdr:row>
      <xdr:rowOff>11440</xdr:rowOff>
    </xdr:to>
    <xdr:sp macro="" textlink="">
      <xdr:nvSpPr>
        <xdr:cNvPr id="2" name="1 - TextBox">
          <a:extLst>
            <a:ext uri="{FF2B5EF4-FFF2-40B4-BE49-F238E27FC236}">
              <a16:creationId xmlns:a16="http://schemas.microsoft.com/office/drawing/2014/main" id="{166F5294-021E-4303-C617-0128C1952BB6}"/>
            </a:ext>
          </a:extLst>
        </xdr:cNvPr>
        <xdr:cNvSpPr txBox="1"/>
      </xdr:nvSpPr>
      <xdr:spPr bwMode="auto">
        <a:xfrm>
          <a:off x="5981699" y="381000"/>
          <a:ext cx="5438775" cy="30765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fontAlgn="base"/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B2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UPPER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(καρτέλα Τύποι -&gt; κουμπί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)</a:t>
          </a:r>
          <a:endParaRPr lang="el-G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του κελιού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fontAlgn="base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PROPER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του κελιού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/>
            <a:t>3.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D2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CONCATENATE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των κελιών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 και Β2</a:t>
          </a:r>
        </a:p>
        <a:p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4. Στο κελί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D2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αλλάξτε τον τύπο σε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=CONCATENATE(A2;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"  ";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B2)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Ε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EXACT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των κελιών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 και Β2</a:t>
          </a:r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6. 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F2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LEN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του κελιού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l-G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7. 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Στο κελί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G2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εισάγετε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LEFT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επί του κελιού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με μήκος 3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8.  Στο κελί Β6 εφαρμόστε τη συνάρτηση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REPT 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με κείμενο "Ι" και αριθμό επαναλήψεων το περιεχόμενο του κελιού Α6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9. Επεκτείνετε τον τύπο του κελιού Β6 τα κελιά Β7:Β9. Είναι ένας ωραίος και απλός τρόπος για να δημιουργήσετε μπάρες απεικόνισης  για τα δεδομένα σας.</a:t>
          </a:r>
          <a:endParaRPr lang="en-US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590550</xdr:colOff>
      <xdr:row>2</xdr:row>
      <xdr:rowOff>57150</xdr:rowOff>
    </xdr:from>
    <xdr:to>
      <xdr:col>17</xdr:col>
      <xdr:colOff>133350</xdr:colOff>
      <xdr:row>3</xdr:row>
      <xdr:rowOff>57150</xdr:rowOff>
    </xdr:to>
    <xdr:pic>
      <xdr:nvPicPr>
        <xdr:cNvPr id="9266" name="Picture 1">
          <a:extLst>
            <a:ext uri="{FF2B5EF4-FFF2-40B4-BE49-F238E27FC236}">
              <a16:creationId xmlns:a16="http://schemas.microsoft.com/office/drawing/2014/main" id="{CCF25B59-8A44-3894-83F9-6264B805B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438150"/>
          <a:ext cx="7620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550545</xdr:colOff>
      <xdr:row>0</xdr:row>
      <xdr:rowOff>11430</xdr:rowOff>
    </xdr:from>
    <xdr:to>
      <xdr:col>13</xdr:col>
      <xdr:colOff>133354</xdr:colOff>
      <xdr:row>3</xdr:row>
      <xdr:rowOff>163959</xdr:rowOff>
    </xdr:to>
    <xdr:sp macro="" textlink="">
      <xdr:nvSpPr>
        <xdr:cNvPr id="2" name="1 - TextBox">
          <a:extLst>
            <a:ext uri="{FF2B5EF4-FFF2-40B4-BE49-F238E27FC236}">
              <a16:creationId xmlns:a16="http://schemas.microsoft.com/office/drawing/2014/main" id="{10C88B75-81E4-0D22-F2C9-2B6DC0A2F38A}"/>
            </a:ext>
          </a:extLst>
        </xdr:cNvPr>
        <xdr:cNvSpPr txBox="1"/>
      </xdr:nvSpPr>
      <xdr:spPr bwMode="auto">
        <a:xfrm>
          <a:off x="3990975" y="19050"/>
          <a:ext cx="5067300" cy="7143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Στο κελί  Α2 εισάγετε τη συνάρτηση 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Ημερομηνίας και ώρας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NOW</a:t>
          </a:r>
        </a:p>
        <a:p>
          <a:r>
            <a:rPr lang="el-GR" sz="1100" i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en-US" sz="1100" i="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l-GR" sz="1100" i="0">
              <a:solidFill>
                <a:schemeClr val="dk1"/>
              </a:solidFill>
              <a:latin typeface="+mn-lt"/>
              <a:ea typeface="+mn-ea"/>
              <a:cs typeface="+mn-cs"/>
            </a:rPr>
            <a:t>Με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ενεργό το κελί Α2 </a:t>
          </a:r>
          <a:r>
            <a:rPr lang="el-GR" sz="1100" i="0">
              <a:solidFill>
                <a:schemeClr val="dk1"/>
              </a:solidFill>
              <a:latin typeface="+mn-lt"/>
              <a:ea typeface="+mn-ea"/>
              <a:cs typeface="+mn-cs"/>
            </a:rPr>
            <a:t>πατήστε το κουμπί άμεσος υπολογισμός  ή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το πλήκτρο 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F9</a:t>
          </a:r>
          <a:endParaRPr lang="el-GR" sz="110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Στο κελί  Β2 εισάγετε τη συνάρτηση 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Ημερομηνίας και ώρας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l-GR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TODAY</a:t>
          </a:r>
          <a:endParaRPr lang="el-GR"/>
        </a:p>
        <a:p>
          <a:endParaRPr lang="el-GR" sz="1100" i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l-GR" sz="1100" i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0</xdr:row>
      <xdr:rowOff>85725</xdr:rowOff>
    </xdr:from>
    <xdr:to>
      <xdr:col>11</xdr:col>
      <xdr:colOff>76200</xdr:colOff>
      <xdr:row>7</xdr:row>
      <xdr:rowOff>11466</xdr:rowOff>
    </xdr:to>
    <xdr:sp macro="" textlink="">
      <xdr:nvSpPr>
        <xdr:cNvPr id="2" name="1 - TextBox">
          <a:extLst>
            <a:ext uri="{FF2B5EF4-FFF2-40B4-BE49-F238E27FC236}">
              <a16:creationId xmlns:a16="http://schemas.microsoft.com/office/drawing/2014/main" id="{70606305-C140-EB49-7D08-32C3E4A37D59}"/>
            </a:ext>
          </a:extLst>
        </xdr:cNvPr>
        <xdr:cNvSpPr txBox="1"/>
      </xdr:nvSpPr>
      <xdr:spPr>
        <a:xfrm>
          <a:off x="6400800" y="85725"/>
          <a:ext cx="4791075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Υπολογίστε τα περιεχόμενα των κελιών </a:t>
          </a: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l-GR" sz="1100" i="1">
              <a:solidFill>
                <a:schemeClr val="dk1"/>
              </a:solidFill>
              <a:latin typeface="+mn-lt"/>
              <a:ea typeface="+mn-ea"/>
              <a:cs typeface="+mn-cs"/>
            </a:rPr>
            <a:t>4:</a:t>
          </a: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l-GR" sz="1100" i="1">
              <a:solidFill>
                <a:schemeClr val="dk1"/>
              </a:solidFill>
              <a:latin typeface="+mn-lt"/>
              <a:ea typeface="+mn-ea"/>
              <a:cs typeface="+mn-cs"/>
            </a:rPr>
            <a:t>9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με βάση τον τύπο  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Υπολογίστε τα περιεχόμενα των κελιών Β12:Β14 (για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βαθμούς κελσίου) </a:t>
          </a: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με τη χρήση συναρτήσεων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>
              <a:solidFill>
                <a:schemeClr val="dk1"/>
              </a:solidFill>
              <a:latin typeface="+mn-lt"/>
              <a:ea typeface="+mn-ea"/>
              <a:cs typeface="+mn-cs"/>
            </a:rPr>
            <a:t>3. Οπτικοποιήστε με τη βοήθεια</a:t>
          </a:r>
          <a:r>
            <a:rPr lang="el-G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της συνάρτησης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/>
            <a:t>REPT </a:t>
          </a:r>
          <a:r>
            <a:rPr lang="el-GR"/>
            <a:t>στα κελιά </a:t>
          </a:r>
          <a:r>
            <a:rPr lang="en-US"/>
            <a:t>C12:C14</a:t>
          </a:r>
          <a:r>
            <a:rPr lang="en-US" baseline="0"/>
            <a:t> </a:t>
          </a:r>
          <a:r>
            <a:rPr lang="el-GR" baseline="0"/>
            <a:t>τα περιεχόμενα των κελιών Β12:14</a:t>
          </a:r>
          <a:endParaRPr lang="en-US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4. </a:t>
          </a:r>
          <a:r>
            <a:rPr lang="el-GR"/>
            <a:t>Εμφανίστε</a:t>
          </a:r>
          <a:r>
            <a:rPr lang="el-GR" baseline="0"/>
            <a:t> τις θερμοκρασίες των πόλεων σε μορφή θερμοκρασίας π.χ. 17˚ </a:t>
          </a:r>
          <a:r>
            <a:rPr lang="en-US" baseline="0"/>
            <a:t>C</a:t>
          </a:r>
          <a:endParaRPr lang="el-GR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457200</xdr:colOff>
          <xdr:row>0</xdr:row>
          <xdr:rowOff>28575</xdr:rowOff>
        </xdr:from>
        <xdr:to>
          <xdr:col>10</xdr:col>
          <xdr:colOff>457200</xdr:colOff>
          <xdr:row>2</xdr:row>
          <xdr:rowOff>9525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6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1314450</xdr:colOff>
      <xdr:row>11</xdr:row>
      <xdr:rowOff>0</xdr:rowOff>
    </xdr:from>
    <xdr:to>
      <xdr:col>0</xdr:col>
      <xdr:colOff>1600200</xdr:colOff>
      <xdr:row>11</xdr:row>
      <xdr:rowOff>219075</xdr:rowOff>
    </xdr:to>
    <xdr:sp macro="" textlink="">
      <xdr:nvSpPr>
        <xdr:cNvPr id="30757" name="AutoShape 1">
          <a:extLst>
            <a:ext uri="{FF2B5EF4-FFF2-40B4-BE49-F238E27FC236}">
              <a16:creationId xmlns:a16="http://schemas.microsoft.com/office/drawing/2014/main" id="{9845E445-B260-8893-FD8E-107156E13B1A}"/>
            </a:ext>
          </a:extLst>
        </xdr:cNvPr>
        <xdr:cNvSpPr>
          <a:spLocks noChangeArrowheads="1"/>
        </xdr:cNvSpPr>
      </xdr:nvSpPr>
      <xdr:spPr bwMode="auto">
        <a:xfrm>
          <a:off x="1314450" y="2914650"/>
          <a:ext cx="285750" cy="219075"/>
        </a:xfrm>
        <a:prstGeom prst="sun">
          <a:avLst>
            <a:gd name="adj" fmla="val 25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1314450</xdr:colOff>
      <xdr:row>13</xdr:row>
      <xdr:rowOff>0</xdr:rowOff>
    </xdr:from>
    <xdr:to>
      <xdr:col>0</xdr:col>
      <xdr:colOff>1600200</xdr:colOff>
      <xdr:row>13</xdr:row>
      <xdr:rowOff>219075</xdr:rowOff>
    </xdr:to>
    <xdr:sp macro="" textlink="">
      <xdr:nvSpPr>
        <xdr:cNvPr id="30758" name="AutoShape 2">
          <a:extLst>
            <a:ext uri="{FF2B5EF4-FFF2-40B4-BE49-F238E27FC236}">
              <a16:creationId xmlns:a16="http://schemas.microsoft.com/office/drawing/2014/main" id="{4E3502A6-71C6-E4C0-0F1E-A5BD2E8D4B66}"/>
            </a:ext>
          </a:extLst>
        </xdr:cNvPr>
        <xdr:cNvSpPr>
          <a:spLocks noChangeArrowheads="1"/>
        </xdr:cNvSpPr>
      </xdr:nvSpPr>
      <xdr:spPr bwMode="auto">
        <a:xfrm>
          <a:off x="1314450" y="3448050"/>
          <a:ext cx="285750" cy="219075"/>
        </a:xfrm>
        <a:prstGeom prst="sun">
          <a:avLst>
            <a:gd name="adj" fmla="val 25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1314450</xdr:colOff>
      <xdr:row>12</xdr:row>
      <xdr:rowOff>0</xdr:rowOff>
    </xdr:from>
    <xdr:to>
      <xdr:col>1</xdr:col>
      <xdr:colOff>1600200</xdr:colOff>
      <xdr:row>12</xdr:row>
      <xdr:rowOff>219075</xdr:rowOff>
    </xdr:to>
    <xdr:sp macro="" textlink="">
      <xdr:nvSpPr>
        <xdr:cNvPr id="30759" name="AutoShape 3">
          <a:extLst>
            <a:ext uri="{FF2B5EF4-FFF2-40B4-BE49-F238E27FC236}">
              <a16:creationId xmlns:a16="http://schemas.microsoft.com/office/drawing/2014/main" id="{4CCB34CD-1F11-0915-D416-A3883E20AB5A}"/>
            </a:ext>
          </a:extLst>
        </xdr:cNvPr>
        <xdr:cNvSpPr>
          <a:spLocks noChangeArrowheads="1"/>
        </xdr:cNvSpPr>
      </xdr:nvSpPr>
      <xdr:spPr bwMode="auto">
        <a:xfrm>
          <a:off x="3009900" y="3181350"/>
          <a:ext cx="285750" cy="219075"/>
        </a:xfrm>
        <a:prstGeom prst="sun">
          <a:avLst>
            <a:gd name="adj" fmla="val 25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1314450</xdr:colOff>
      <xdr:row>13</xdr:row>
      <xdr:rowOff>19050</xdr:rowOff>
    </xdr:from>
    <xdr:to>
      <xdr:col>1</xdr:col>
      <xdr:colOff>1600200</xdr:colOff>
      <xdr:row>13</xdr:row>
      <xdr:rowOff>238125</xdr:rowOff>
    </xdr:to>
    <xdr:sp macro="" textlink="">
      <xdr:nvSpPr>
        <xdr:cNvPr id="30760" name="AutoShape 4">
          <a:extLst>
            <a:ext uri="{FF2B5EF4-FFF2-40B4-BE49-F238E27FC236}">
              <a16:creationId xmlns:a16="http://schemas.microsoft.com/office/drawing/2014/main" id="{018B1185-DCBA-F8D6-ECBA-ADB90565ED20}"/>
            </a:ext>
          </a:extLst>
        </xdr:cNvPr>
        <xdr:cNvSpPr>
          <a:spLocks noChangeArrowheads="1"/>
        </xdr:cNvSpPr>
      </xdr:nvSpPr>
      <xdr:spPr bwMode="auto">
        <a:xfrm>
          <a:off x="3009900" y="3467100"/>
          <a:ext cx="285750" cy="219075"/>
        </a:xfrm>
        <a:prstGeom prst="sun">
          <a:avLst>
            <a:gd name="adj" fmla="val 25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5</xdr:row>
      <xdr:rowOff>95250</xdr:rowOff>
    </xdr:from>
    <xdr:to>
      <xdr:col>6</xdr:col>
      <xdr:colOff>209550</xdr:colOff>
      <xdr:row>10</xdr:row>
      <xdr:rowOff>0</xdr:rowOff>
    </xdr:to>
    <xdr:grpSp>
      <xdr:nvGrpSpPr>
        <xdr:cNvPr id="11865" name="Group 12">
          <a:extLst>
            <a:ext uri="{FF2B5EF4-FFF2-40B4-BE49-F238E27FC236}">
              <a16:creationId xmlns:a16="http://schemas.microsoft.com/office/drawing/2014/main" id="{777A7718-169C-946E-DBDB-95A0EE8EA575}"/>
            </a:ext>
          </a:extLst>
        </xdr:cNvPr>
        <xdr:cNvGrpSpPr>
          <a:grpSpLocks/>
        </xdr:cNvGrpSpPr>
      </xdr:nvGrpSpPr>
      <xdr:grpSpPr bwMode="auto">
        <a:xfrm>
          <a:off x="1581150" y="981075"/>
          <a:ext cx="2847975" cy="714375"/>
          <a:chOff x="161" y="128"/>
          <a:chExt cx="288" cy="75"/>
        </a:xfrm>
      </xdr:grpSpPr>
      <xdr:sp macro="" textlink="">
        <xdr:nvSpPr>
          <xdr:cNvPr id="11882" name="AutoShape 1">
            <a:extLst>
              <a:ext uri="{FF2B5EF4-FFF2-40B4-BE49-F238E27FC236}">
                <a16:creationId xmlns:a16="http://schemas.microsoft.com/office/drawing/2014/main" id="{CA2DF81A-7CE7-3C7E-9577-4DDB87AE1515}"/>
              </a:ext>
            </a:extLst>
          </xdr:cNvPr>
          <xdr:cNvSpPr>
            <a:spLocks noChangeArrowheads="1"/>
          </xdr:cNvSpPr>
        </xdr:nvSpPr>
        <xdr:spPr bwMode="auto">
          <a:xfrm>
            <a:off x="255" y="128"/>
            <a:ext cx="103" cy="70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Text Box 2">
            <a:extLst>
              <a:ext uri="{FF2B5EF4-FFF2-40B4-BE49-F238E27FC236}">
                <a16:creationId xmlns:a16="http://schemas.microsoft.com/office/drawing/2014/main" id="{E46096EE-3137-E316-C5AB-47DA9DAE16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2" y="151"/>
            <a:ext cx="69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Συνθήκη</a:t>
            </a:r>
          </a:p>
        </xdr:txBody>
      </xdr:sp>
      <xdr:sp macro="" textlink="">
        <xdr:nvSpPr>
          <xdr:cNvPr id="11884" name="Freeform 4">
            <a:extLst>
              <a:ext uri="{FF2B5EF4-FFF2-40B4-BE49-F238E27FC236}">
                <a16:creationId xmlns:a16="http://schemas.microsoft.com/office/drawing/2014/main" id="{4DBC9AD5-57F0-6B37-14B2-CD9A8BC6D233}"/>
              </a:ext>
            </a:extLst>
          </xdr:cNvPr>
          <xdr:cNvSpPr>
            <a:spLocks/>
          </xdr:cNvSpPr>
        </xdr:nvSpPr>
        <xdr:spPr bwMode="auto">
          <a:xfrm>
            <a:off x="202" y="162"/>
            <a:ext cx="53" cy="20"/>
          </a:xfrm>
          <a:custGeom>
            <a:avLst/>
            <a:gdLst>
              <a:gd name="T0" fmla="*/ 53 w 53"/>
              <a:gd name="T1" fmla="*/ 0 h 20"/>
              <a:gd name="T2" fmla="*/ 0 w 53"/>
              <a:gd name="T3" fmla="*/ 0 h 20"/>
              <a:gd name="T4" fmla="*/ 0 w 53"/>
              <a:gd name="T5" fmla="*/ 20 h 20"/>
              <a:gd name="T6" fmla="*/ 0 60000 65536"/>
              <a:gd name="T7" fmla="*/ 0 60000 65536"/>
              <a:gd name="T8" fmla="*/ 0 60000 65536"/>
              <a:gd name="T9" fmla="*/ 0 w 53"/>
              <a:gd name="T10" fmla="*/ 0 h 20"/>
              <a:gd name="T11" fmla="*/ 53 w 53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3" h="20">
                <a:moveTo>
                  <a:pt x="53" y="0"/>
                </a:moveTo>
                <a:lnTo>
                  <a:pt x="0" y="0"/>
                </a:lnTo>
                <a:lnTo>
                  <a:pt x="0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5" name="Freeform 7">
            <a:extLst>
              <a:ext uri="{FF2B5EF4-FFF2-40B4-BE49-F238E27FC236}">
                <a16:creationId xmlns:a16="http://schemas.microsoft.com/office/drawing/2014/main" id="{2F38D4AF-77DA-3F03-619C-61DDD49C1744}"/>
              </a:ext>
            </a:extLst>
          </xdr:cNvPr>
          <xdr:cNvSpPr>
            <a:spLocks/>
          </xdr:cNvSpPr>
        </xdr:nvSpPr>
        <xdr:spPr bwMode="auto">
          <a:xfrm>
            <a:off x="358" y="162"/>
            <a:ext cx="51" cy="20"/>
          </a:xfrm>
          <a:custGeom>
            <a:avLst/>
            <a:gdLst>
              <a:gd name="T0" fmla="*/ 0 w 51"/>
              <a:gd name="T1" fmla="*/ 0 h 20"/>
              <a:gd name="T2" fmla="*/ 51 w 51"/>
              <a:gd name="T3" fmla="*/ 0 h 20"/>
              <a:gd name="T4" fmla="*/ 51 w 51"/>
              <a:gd name="T5" fmla="*/ 20 h 20"/>
              <a:gd name="T6" fmla="*/ 0 60000 65536"/>
              <a:gd name="T7" fmla="*/ 0 60000 65536"/>
              <a:gd name="T8" fmla="*/ 0 60000 65536"/>
              <a:gd name="T9" fmla="*/ 0 w 51"/>
              <a:gd name="T10" fmla="*/ 0 h 20"/>
              <a:gd name="T11" fmla="*/ 51 w 51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1" h="20">
                <a:moveTo>
                  <a:pt x="0" y="0"/>
                </a:moveTo>
                <a:lnTo>
                  <a:pt x="51" y="0"/>
                </a:lnTo>
                <a:lnTo>
                  <a:pt x="51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Text Box 8">
            <a:extLst>
              <a:ext uri="{FF2B5EF4-FFF2-40B4-BE49-F238E27FC236}">
                <a16:creationId xmlns:a16="http://schemas.microsoft.com/office/drawing/2014/main" id="{69608D24-E4F8-A93E-E314-E1A87CC949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1" y="182"/>
            <a:ext cx="7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Τιμή1</a:t>
            </a:r>
          </a:p>
        </xdr:txBody>
      </xdr:sp>
      <xdr:sp macro="" textlink="">
        <xdr:nvSpPr>
          <xdr:cNvPr id="8" name="Text Box 9">
            <a:extLst>
              <a:ext uri="{FF2B5EF4-FFF2-40B4-BE49-F238E27FC236}">
                <a16:creationId xmlns:a16="http://schemas.microsoft.com/office/drawing/2014/main" id="{5C303FB2-6C1D-AA4E-19C5-FA1000A55E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" y="182"/>
            <a:ext cx="7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Τιμή2</a:t>
            </a:r>
          </a:p>
        </xdr:txBody>
      </xdr:sp>
      <xdr:sp macro="" textlink="">
        <xdr:nvSpPr>
          <xdr:cNvPr id="9" name="Text Box 10">
            <a:extLst>
              <a:ext uri="{FF2B5EF4-FFF2-40B4-BE49-F238E27FC236}">
                <a16:creationId xmlns:a16="http://schemas.microsoft.com/office/drawing/2014/main" id="{490D12F5-25FC-7A0D-3A60-3C39FA04A79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2" y="144"/>
            <a:ext cx="80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True</a:t>
            </a:r>
          </a:p>
        </xdr:txBody>
      </xdr:sp>
      <xdr:sp macro="" textlink="">
        <xdr:nvSpPr>
          <xdr:cNvPr id="10" name="Text Box 11">
            <a:extLst>
              <a:ext uri="{FF2B5EF4-FFF2-40B4-BE49-F238E27FC236}">
                <a16:creationId xmlns:a16="http://schemas.microsoft.com/office/drawing/2014/main" id="{755C9817-6C54-BECE-26A6-343B4DE3885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145"/>
            <a:ext cx="79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False</a:t>
            </a:r>
          </a:p>
        </xdr:txBody>
      </xdr:sp>
    </xdr:grpSp>
    <xdr:clientData/>
  </xdr:twoCellAnchor>
  <xdr:twoCellAnchor>
    <xdr:from>
      <xdr:col>1</xdr:col>
      <xdr:colOff>571500</xdr:colOff>
      <xdr:row>14</xdr:row>
      <xdr:rowOff>85725</xdr:rowOff>
    </xdr:from>
    <xdr:to>
      <xdr:col>8</xdr:col>
      <xdr:colOff>152400</xdr:colOff>
      <xdr:row>22</xdr:row>
      <xdr:rowOff>0</xdr:rowOff>
    </xdr:to>
    <xdr:grpSp>
      <xdr:nvGrpSpPr>
        <xdr:cNvPr id="11866" name="Group 29">
          <a:extLst>
            <a:ext uri="{FF2B5EF4-FFF2-40B4-BE49-F238E27FC236}">
              <a16:creationId xmlns:a16="http://schemas.microsoft.com/office/drawing/2014/main" id="{FD5DE53E-C5A0-A66E-5A41-2FB1CD82299E}"/>
            </a:ext>
          </a:extLst>
        </xdr:cNvPr>
        <xdr:cNvGrpSpPr>
          <a:grpSpLocks/>
        </xdr:cNvGrpSpPr>
      </xdr:nvGrpSpPr>
      <xdr:grpSpPr bwMode="auto">
        <a:xfrm>
          <a:off x="1590675" y="2428875"/>
          <a:ext cx="5133975" cy="1247775"/>
          <a:chOff x="162" y="277"/>
          <a:chExt cx="397" cy="131"/>
        </a:xfrm>
      </xdr:grpSpPr>
      <xdr:sp macro="" textlink="">
        <xdr:nvSpPr>
          <xdr:cNvPr id="11867" name="AutoShape 14">
            <a:extLst>
              <a:ext uri="{FF2B5EF4-FFF2-40B4-BE49-F238E27FC236}">
                <a16:creationId xmlns:a16="http://schemas.microsoft.com/office/drawing/2014/main" id="{EF227930-B9DF-9FAA-7523-D396F9EA0941}"/>
              </a:ext>
            </a:extLst>
          </xdr:cNvPr>
          <xdr:cNvSpPr>
            <a:spLocks noChangeArrowheads="1"/>
          </xdr:cNvSpPr>
        </xdr:nvSpPr>
        <xdr:spPr bwMode="auto">
          <a:xfrm>
            <a:off x="256" y="277"/>
            <a:ext cx="103" cy="70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Text Box 15">
            <a:extLst>
              <a:ext uri="{FF2B5EF4-FFF2-40B4-BE49-F238E27FC236}">
                <a16:creationId xmlns:a16="http://schemas.microsoft.com/office/drawing/2014/main" id="{AD67B9ED-00A9-E9DF-542D-AD6B021BD2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3" y="300"/>
            <a:ext cx="68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Συνθήκη</a:t>
            </a:r>
          </a:p>
        </xdr:txBody>
      </xdr:sp>
      <xdr:sp macro="" textlink="">
        <xdr:nvSpPr>
          <xdr:cNvPr id="11869" name="Freeform 16">
            <a:extLst>
              <a:ext uri="{FF2B5EF4-FFF2-40B4-BE49-F238E27FC236}">
                <a16:creationId xmlns:a16="http://schemas.microsoft.com/office/drawing/2014/main" id="{9C8D8F7D-41CB-AEF7-39E3-5BCCCED422AD}"/>
              </a:ext>
            </a:extLst>
          </xdr:cNvPr>
          <xdr:cNvSpPr>
            <a:spLocks/>
          </xdr:cNvSpPr>
        </xdr:nvSpPr>
        <xdr:spPr bwMode="auto">
          <a:xfrm>
            <a:off x="203" y="311"/>
            <a:ext cx="53" cy="20"/>
          </a:xfrm>
          <a:custGeom>
            <a:avLst/>
            <a:gdLst>
              <a:gd name="T0" fmla="*/ 53 w 53"/>
              <a:gd name="T1" fmla="*/ 0 h 20"/>
              <a:gd name="T2" fmla="*/ 0 w 53"/>
              <a:gd name="T3" fmla="*/ 0 h 20"/>
              <a:gd name="T4" fmla="*/ 0 w 53"/>
              <a:gd name="T5" fmla="*/ 20 h 20"/>
              <a:gd name="T6" fmla="*/ 0 60000 65536"/>
              <a:gd name="T7" fmla="*/ 0 60000 65536"/>
              <a:gd name="T8" fmla="*/ 0 60000 65536"/>
              <a:gd name="T9" fmla="*/ 0 w 53"/>
              <a:gd name="T10" fmla="*/ 0 h 20"/>
              <a:gd name="T11" fmla="*/ 53 w 53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3" h="20">
                <a:moveTo>
                  <a:pt x="53" y="0"/>
                </a:moveTo>
                <a:lnTo>
                  <a:pt x="0" y="0"/>
                </a:lnTo>
                <a:lnTo>
                  <a:pt x="0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70" name="Freeform 17">
            <a:extLst>
              <a:ext uri="{FF2B5EF4-FFF2-40B4-BE49-F238E27FC236}">
                <a16:creationId xmlns:a16="http://schemas.microsoft.com/office/drawing/2014/main" id="{3D964610-0F2B-FA2C-0B9A-3E3E24014540}"/>
              </a:ext>
            </a:extLst>
          </xdr:cNvPr>
          <xdr:cNvSpPr>
            <a:spLocks/>
          </xdr:cNvSpPr>
        </xdr:nvSpPr>
        <xdr:spPr bwMode="auto">
          <a:xfrm>
            <a:off x="359" y="311"/>
            <a:ext cx="51" cy="20"/>
          </a:xfrm>
          <a:custGeom>
            <a:avLst/>
            <a:gdLst>
              <a:gd name="T0" fmla="*/ 0 w 51"/>
              <a:gd name="T1" fmla="*/ 0 h 20"/>
              <a:gd name="T2" fmla="*/ 51 w 51"/>
              <a:gd name="T3" fmla="*/ 0 h 20"/>
              <a:gd name="T4" fmla="*/ 51 w 51"/>
              <a:gd name="T5" fmla="*/ 20 h 20"/>
              <a:gd name="T6" fmla="*/ 0 60000 65536"/>
              <a:gd name="T7" fmla="*/ 0 60000 65536"/>
              <a:gd name="T8" fmla="*/ 0 60000 65536"/>
              <a:gd name="T9" fmla="*/ 0 w 51"/>
              <a:gd name="T10" fmla="*/ 0 h 20"/>
              <a:gd name="T11" fmla="*/ 51 w 51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1" h="20">
                <a:moveTo>
                  <a:pt x="0" y="0"/>
                </a:moveTo>
                <a:lnTo>
                  <a:pt x="51" y="0"/>
                </a:lnTo>
                <a:lnTo>
                  <a:pt x="51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Text Box 18">
            <a:extLst>
              <a:ext uri="{FF2B5EF4-FFF2-40B4-BE49-F238E27FC236}">
                <a16:creationId xmlns:a16="http://schemas.microsoft.com/office/drawing/2014/main" id="{CE9DEC86-BC04-7908-7585-9213700FF7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2" y="331"/>
            <a:ext cx="7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Τιμή1</a:t>
            </a:r>
          </a:p>
        </xdr:txBody>
      </xdr:sp>
      <xdr:sp macro="" textlink="">
        <xdr:nvSpPr>
          <xdr:cNvPr id="17" name="Text Box 19">
            <a:extLst>
              <a:ext uri="{FF2B5EF4-FFF2-40B4-BE49-F238E27FC236}">
                <a16:creationId xmlns:a16="http://schemas.microsoft.com/office/drawing/2014/main" id="{366985E1-A7F9-066D-AB0F-DF373EB25D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7" y="387"/>
            <a:ext cx="7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Τιμή2</a:t>
            </a:r>
          </a:p>
        </xdr:txBody>
      </xdr:sp>
      <xdr:sp macro="" textlink="">
        <xdr:nvSpPr>
          <xdr:cNvPr id="18" name="Text Box 20">
            <a:extLst>
              <a:ext uri="{FF2B5EF4-FFF2-40B4-BE49-F238E27FC236}">
                <a16:creationId xmlns:a16="http://schemas.microsoft.com/office/drawing/2014/main" id="{2859DD15-BE0C-1F1C-072E-1D41C5316E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3" y="293"/>
            <a:ext cx="7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True</a:t>
            </a:r>
          </a:p>
        </xdr:txBody>
      </xdr:sp>
      <xdr:sp macro="" textlink="">
        <xdr:nvSpPr>
          <xdr:cNvPr id="19" name="Text Box 21">
            <a:extLst>
              <a:ext uri="{FF2B5EF4-FFF2-40B4-BE49-F238E27FC236}">
                <a16:creationId xmlns:a16="http://schemas.microsoft.com/office/drawing/2014/main" id="{31B0E1DF-15FB-9D21-36BD-DB98131FD1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5" y="294"/>
            <a:ext cx="80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False</a:t>
            </a:r>
          </a:p>
        </xdr:txBody>
      </xdr:sp>
      <xdr:sp macro="" textlink="">
        <xdr:nvSpPr>
          <xdr:cNvPr id="11875" name="AutoShape 22">
            <a:extLst>
              <a:ext uri="{FF2B5EF4-FFF2-40B4-BE49-F238E27FC236}">
                <a16:creationId xmlns:a16="http://schemas.microsoft.com/office/drawing/2014/main" id="{C81153E1-7A6F-A3F1-BA72-06E0C779D200}"/>
              </a:ext>
            </a:extLst>
          </xdr:cNvPr>
          <xdr:cNvSpPr>
            <a:spLocks noChangeArrowheads="1"/>
          </xdr:cNvSpPr>
        </xdr:nvSpPr>
        <xdr:spPr bwMode="auto">
          <a:xfrm>
            <a:off x="360" y="331"/>
            <a:ext cx="103" cy="70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23">
            <a:extLst>
              <a:ext uri="{FF2B5EF4-FFF2-40B4-BE49-F238E27FC236}">
                <a16:creationId xmlns:a16="http://schemas.microsoft.com/office/drawing/2014/main" id="{11AC05E0-EA07-CC35-14B5-CB98F3D975E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5" y="356"/>
            <a:ext cx="69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Συνθήκη2</a:t>
            </a:r>
          </a:p>
        </xdr:txBody>
      </xdr:sp>
      <xdr:sp macro="" textlink="">
        <xdr:nvSpPr>
          <xdr:cNvPr id="11877" name="Freeform 24">
            <a:extLst>
              <a:ext uri="{FF2B5EF4-FFF2-40B4-BE49-F238E27FC236}">
                <a16:creationId xmlns:a16="http://schemas.microsoft.com/office/drawing/2014/main" id="{7AE37617-C666-005F-4E53-1477AD217531}"/>
              </a:ext>
            </a:extLst>
          </xdr:cNvPr>
          <xdr:cNvSpPr>
            <a:spLocks/>
          </xdr:cNvSpPr>
        </xdr:nvSpPr>
        <xdr:spPr bwMode="auto">
          <a:xfrm>
            <a:off x="306" y="367"/>
            <a:ext cx="53" cy="20"/>
          </a:xfrm>
          <a:custGeom>
            <a:avLst/>
            <a:gdLst>
              <a:gd name="T0" fmla="*/ 53 w 53"/>
              <a:gd name="T1" fmla="*/ 0 h 20"/>
              <a:gd name="T2" fmla="*/ 0 w 53"/>
              <a:gd name="T3" fmla="*/ 0 h 20"/>
              <a:gd name="T4" fmla="*/ 0 w 53"/>
              <a:gd name="T5" fmla="*/ 20 h 20"/>
              <a:gd name="T6" fmla="*/ 0 60000 65536"/>
              <a:gd name="T7" fmla="*/ 0 60000 65536"/>
              <a:gd name="T8" fmla="*/ 0 60000 65536"/>
              <a:gd name="T9" fmla="*/ 0 w 53"/>
              <a:gd name="T10" fmla="*/ 0 h 20"/>
              <a:gd name="T11" fmla="*/ 53 w 53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3" h="20">
                <a:moveTo>
                  <a:pt x="53" y="0"/>
                </a:moveTo>
                <a:lnTo>
                  <a:pt x="0" y="0"/>
                </a:lnTo>
                <a:lnTo>
                  <a:pt x="0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" name="Text Box 25">
            <a:extLst>
              <a:ext uri="{FF2B5EF4-FFF2-40B4-BE49-F238E27FC236}">
                <a16:creationId xmlns:a16="http://schemas.microsoft.com/office/drawing/2014/main" id="{4794935A-2F49-ABA7-4741-2B77FC493A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351"/>
            <a:ext cx="77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True</a:t>
            </a:r>
          </a:p>
        </xdr:txBody>
      </xdr:sp>
      <xdr:sp macro="" textlink="">
        <xdr:nvSpPr>
          <xdr:cNvPr id="11879" name="Freeform 26">
            <a:extLst>
              <a:ext uri="{FF2B5EF4-FFF2-40B4-BE49-F238E27FC236}">
                <a16:creationId xmlns:a16="http://schemas.microsoft.com/office/drawing/2014/main" id="{C6BFBDC4-0E64-793B-A686-E86B2D3E3B37}"/>
              </a:ext>
            </a:extLst>
          </xdr:cNvPr>
          <xdr:cNvSpPr>
            <a:spLocks/>
          </xdr:cNvSpPr>
        </xdr:nvSpPr>
        <xdr:spPr bwMode="auto">
          <a:xfrm>
            <a:off x="465" y="366"/>
            <a:ext cx="51" cy="20"/>
          </a:xfrm>
          <a:custGeom>
            <a:avLst/>
            <a:gdLst>
              <a:gd name="T0" fmla="*/ 0 w 51"/>
              <a:gd name="T1" fmla="*/ 0 h 20"/>
              <a:gd name="T2" fmla="*/ 51 w 51"/>
              <a:gd name="T3" fmla="*/ 0 h 20"/>
              <a:gd name="T4" fmla="*/ 51 w 51"/>
              <a:gd name="T5" fmla="*/ 20 h 20"/>
              <a:gd name="T6" fmla="*/ 0 60000 65536"/>
              <a:gd name="T7" fmla="*/ 0 60000 65536"/>
              <a:gd name="T8" fmla="*/ 0 60000 65536"/>
              <a:gd name="T9" fmla="*/ 0 w 51"/>
              <a:gd name="T10" fmla="*/ 0 h 20"/>
              <a:gd name="T11" fmla="*/ 51 w 51"/>
              <a:gd name="T12" fmla="*/ 20 h 2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51" h="20">
                <a:moveTo>
                  <a:pt x="0" y="0"/>
                </a:moveTo>
                <a:lnTo>
                  <a:pt x="51" y="0"/>
                </a:lnTo>
                <a:lnTo>
                  <a:pt x="51" y="20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stealth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Text Box 27">
            <a:extLst>
              <a:ext uri="{FF2B5EF4-FFF2-40B4-BE49-F238E27FC236}">
                <a16:creationId xmlns:a16="http://schemas.microsoft.com/office/drawing/2014/main" id="{37D76ECD-477C-EA21-B994-F6BC533723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5" y="348"/>
            <a:ext cx="79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False</a:t>
            </a:r>
          </a:p>
        </xdr:txBody>
      </xdr:sp>
      <xdr:sp macro="" textlink="">
        <xdr:nvSpPr>
          <xdr:cNvPr id="26" name="Text Box 28">
            <a:extLst>
              <a:ext uri="{FF2B5EF4-FFF2-40B4-BE49-F238E27FC236}">
                <a16:creationId xmlns:a16="http://schemas.microsoft.com/office/drawing/2014/main" id="{C0B99F25-3C6B-644E-92FD-CD8FEC1858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0" y="386"/>
            <a:ext cx="79" cy="2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l-GR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Τιμή3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7</xdr:row>
      <xdr:rowOff>0</xdr:rowOff>
    </xdr:from>
    <xdr:to>
      <xdr:col>1</xdr:col>
      <xdr:colOff>314325</xdr:colOff>
      <xdr:row>8</xdr:row>
      <xdr:rowOff>38100</xdr:rowOff>
    </xdr:to>
    <xdr:sp macro="" textlink="">
      <xdr:nvSpPr>
        <xdr:cNvPr id="12370" name="Line 4">
          <a:extLst>
            <a:ext uri="{FF2B5EF4-FFF2-40B4-BE49-F238E27FC236}">
              <a16:creationId xmlns:a16="http://schemas.microsoft.com/office/drawing/2014/main" id="{F7F02D26-DE93-C0BD-028F-DB752D0C27AA}"/>
            </a:ext>
          </a:extLst>
        </xdr:cNvPr>
        <xdr:cNvSpPr>
          <a:spLocks noChangeShapeType="1"/>
        </xdr:cNvSpPr>
      </xdr:nvSpPr>
      <xdr:spPr bwMode="auto">
        <a:xfrm>
          <a:off x="1057275" y="12096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695325</xdr:colOff>
      <xdr:row>7</xdr:row>
      <xdr:rowOff>76200</xdr:rowOff>
    </xdr:from>
    <xdr:to>
      <xdr:col>1</xdr:col>
      <xdr:colOff>666750</xdr:colOff>
      <xdr:row>7</xdr:row>
      <xdr:rowOff>76200</xdr:rowOff>
    </xdr:to>
    <xdr:sp macro="" textlink="">
      <xdr:nvSpPr>
        <xdr:cNvPr id="12371" name="Line 5">
          <a:extLst>
            <a:ext uri="{FF2B5EF4-FFF2-40B4-BE49-F238E27FC236}">
              <a16:creationId xmlns:a16="http://schemas.microsoft.com/office/drawing/2014/main" id="{6131BBEA-D978-BBF1-D1D0-98B9259E1E41}"/>
            </a:ext>
          </a:extLst>
        </xdr:cNvPr>
        <xdr:cNvSpPr>
          <a:spLocks noChangeShapeType="1"/>
        </xdr:cNvSpPr>
      </xdr:nvSpPr>
      <xdr:spPr bwMode="auto">
        <a:xfrm>
          <a:off x="695325" y="1285875"/>
          <a:ext cx="714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12</xdr:col>
      <xdr:colOff>29135</xdr:colOff>
      <xdr:row>52</xdr:row>
      <xdr:rowOff>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B4903-1614-16FE-92EE-2563E0CE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6648450"/>
          <a:ext cx="4010585" cy="19433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1</xdr:row>
      <xdr:rowOff>333375</xdr:rowOff>
    </xdr:from>
    <xdr:to>
      <xdr:col>10</xdr:col>
      <xdr:colOff>685800</xdr:colOff>
      <xdr:row>2</xdr:row>
      <xdr:rowOff>19050</xdr:rowOff>
    </xdr:to>
    <xdr:pic>
      <xdr:nvPicPr>
        <xdr:cNvPr id="17457" name="Picture 1" descr="BD07304_">
          <a:extLst>
            <a:ext uri="{FF2B5EF4-FFF2-40B4-BE49-F238E27FC236}">
              <a16:creationId xmlns:a16="http://schemas.microsoft.com/office/drawing/2014/main" id="{B69AB4B5-7256-61B5-26F5-3593185D9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552450"/>
          <a:ext cx="485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8</xdr:row>
      <xdr:rowOff>28575</xdr:rowOff>
    </xdr:from>
    <xdr:to>
      <xdr:col>10</xdr:col>
      <xdr:colOff>914400</xdr:colOff>
      <xdr:row>13</xdr:row>
      <xdr:rowOff>142875</xdr:rowOff>
    </xdr:to>
    <xdr:pic>
      <xdr:nvPicPr>
        <xdr:cNvPr id="17458" name="Picture 2" descr="PE03254_">
          <a:extLst>
            <a:ext uri="{FF2B5EF4-FFF2-40B4-BE49-F238E27FC236}">
              <a16:creationId xmlns:a16="http://schemas.microsoft.com/office/drawing/2014/main" id="{A25BD126-B245-B0C8-7AC4-F4D33AA8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2419350"/>
          <a:ext cx="14097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0</xdr:row>
      <xdr:rowOff>85725</xdr:rowOff>
    </xdr:from>
    <xdr:to>
      <xdr:col>19</xdr:col>
      <xdr:colOff>104775</xdr:colOff>
      <xdr:row>3</xdr:row>
      <xdr:rowOff>19050</xdr:rowOff>
    </xdr:to>
    <xdr:pic>
      <xdr:nvPicPr>
        <xdr:cNvPr id="2098" name="Picture 2" descr="BS00554_">
          <a:extLst>
            <a:ext uri="{FF2B5EF4-FFF2-40B4-BE49-F238E27FC236}">
              <a16:creationId xmlns:a16="http://schemas.microsoft.com/office/drawing/2014/main" id="{26FAD144-C4E9-EC71-1C0D-D195FC58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85725"/>
          <a:ext cx="14382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38100</xdr:colOff>
      <xdr:row>3</xdr:row>
      <xdr:rowOff>180975</xdr:rowOff>
    </xdr:from>
    <xdr:to>
      <xdr:col>19</xdr:col>
      <xdr:colOff>123825</xdr:colOff>
      <xdr:row>8</xdr:row>
      <xdr:rowOff>38100</xdr:rowOff>
    </xdr:to>
    <xdr:pic>
      <xdr:nvPicPr>
        <xdr:cNvPr id="2099" name="Picture 3" descr="BS00559_">
          <a:extLst>
            <a:ext uri="{FF2B5EF4-FFF2-40B4-BE49-F238E27FC236}">
              <a16:creationId xmlns:a16="http://schemas.microsoft.com/office/drawing/2014/main" id="{6EC06256-B038-F4B4-46C7-9FB468D3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1504950"/>
          <a:ext cx="14573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9</xdr:row>
          <xdr:rowOff>9525</xdr:rowOff>
        </xdr:from>
        <xdr:to>
          <xdr:col>18</xdr:col>
          <xdr:colOff>257175</xdr:colOff>
          <xdr:row>13</xdr:row>
          <xdr:rowOff>104775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1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114300</xdr:rowOff>
    </xdr:from>
    <xdr:to>
      <xdr:col>8</xdr:col>
      <xdr:colOff>561975</xdr:colOff>
      <xdr:row>25</xdr:row>
      <xdr:rowOff>66675</xdr:rowOff>
    </xdr:to>
    <xdr:pic>
      <xdr:nvPicPr>
        <xdr:cNvPr id="20577" name="Picture 1">
          <a:extLst>
            <a:ext uri="{FF2B5EF4-FFF2-40B4-BE49-F238E27FC236}">
              <a16:creationId xmlns:a16="http://schemas.microsoft.com/office/drawing/2014/main" id="{18048450-C302-FEB3-A795-042B97AB9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86075"/>
          <a:ext cx="4629150" cy="2219325"/>
        </a:xfrm>
        <a:prstGeom prst="rect">
          <a:avLst/>
        </a:prstGeom>
        <a:solidFill>
          <a:srgbClr val="FFFF99"/>
        </a:solidFill>
        <a:ln w="57150" cmpd="thickThin">
          <a:solidFill>
            <a:srgbClr val="FF0000"/>
          </a:solidFill>
          <a:miter lim="800000"/>
          <a:headEnd/>
          <a:tailEnd/>
        </a:ln>
      </xdr:spPr>
    </xdr:pic>
    <xdr:clientData/>
  </xdr:twoCellAnchor>
  <xdr:twoCellAnchor>
    <xdr:from>
      <xdr:col>10</xdr:col>
      <xdr:colOff>209550</xdr:colOff>
      <xdr:row>0</xdr:row>
      <xdr:rowOff>257175</xdr:rowOff>
    </xdr:from>
    <xdr:to>
      <xdr:col>14</xdr:col>
      <xdr:colOff>40</xdr:colOff>
      <xdr:row>1</xdr:row>
      <xdr:rowOff>38100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7B1C87E-B703-2131-B858-570047071846}"/>
            </a:ext>
          </a:extLst>
        </xdr:cNvPr>
        <xdr:cNvSpPr>
          <a:spLocks/>
        </xdr:cNvSpPr>
      </xdr:nvSpPr>
      <xdr:spPr bwMode="auto">
        <a:xfrm>
          <a:off x="6115050" y="257175"/>
          <a:ext cx="2238375" cy="266700"/>
        </a:xfrm>
        <a:prstGeom prst="borderCallout2">
          <a:avLst>
            <a:gd name="adj1" fmla="val 42856"/>
            <a:gd name="adj2" fmla="val -3403"/>
            <a:gd name="adj3" fmla="val 42856"/>
            <a:gd name="adj4" fmla="val -53616"/>
            <a:gd name="adj5" fmla="val 103569"/>
            <a:gd name="adj6" fmla="val -9361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chemeClr val="bg1"/>
              </a:solidFill>
              <a:latin typeface="Arial"/>
              <a:cs typeface="Arial"/>
            </a:rPr>
            <a:t>IF(G2&lt;=30;G2;G2-30)</a:t>
          </a:r>
        </a:p>
      </xdr:txBody>
    </xdr:sp>
    <xdr:clientData/>
  </xdr:twoCellAnchor>
  <xdr:twoCellAnchor>
    <xdr:from>
      <xdr:col>9</xdr:col>
      <xdr:colOff>457200</xdr:colOff>
      <xdr:row>2</xdr:row>
      <xdr:rowOff>192405</xdr:rowOff>
    </xdr:from>
    <xdr:to>
      <xdr:col>15</xdr:col>
      <xdr:colOff>0</xdr:colOff>
      <xdr:row>4</xdr:row>
      <xdr:rowOff>36477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3062C47-CA22-6D1C-1230-F5DA3DE58B7B}"/>
            </a:ext>
          </a:extLst>
        </xdr:cNvPr>
        <xdr:cNvSpPr>
          <a:spLocks/>
        </xdr:cNvSpPr>
      </xdr:nvSpPr>
      <xdr:spPr bwMode="auto">
        <a:xfrm>
          <a:off x="5762625" y="904875"/>
          <a:ext cx="3200400" cy="295275"/>
        </a:xfrm>
        <a:prstGeom prst="borderCallout2">
          <a:avLst>
            <a:gd name="adj1" fmla="val 38708"/>
            <a:gd name="adj2" fmla="val -2380"/>
            <a:gd name="adj3" fmla="val 38708"/>
            <a:gd name="adj4" fmla="val -10713"/>
            <a:gd name="adj5" fmla="val -106454"/>
            <a:gd name="adj6" fmla="val -16963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chemeClr val="bg1"/>
              </a:solidFill>
              <a:latin typeface="Arial"/>
              <a:cs typeface="Arial"/>
            </a:rPr>
            <a:t>=IF(G2&lt;=30; "</a:t>
          </a:r>
          <a:r>
            <a:rPr lang="el-GR" sz="1400" b="0" i="0" u="none" strike="noStrike" baseline="0">
              <a:solidFill>
                <a:schemeClr val="bg1"/>
              </a:solidFill>
              <a:latin typeface="Arial"/>
              <a:cs typeface="Arial"/>
            </a:rPr>
            <a:t>Απριλίου"; "Μαίου")</a:t>
          </a:r>
        </a:p>
      </xdr:txBody>
    </xdr:sp>
    <xdr:clientData/>
  </xdr:twoCellAnchor>
  <xdr:twoCellAnchor editAs="oneCell">
    <xdr:from>
      <xdr:col>9</xdr:col>
      <xdr:colOff>123825</xdr:colOff>
      <xdr:row>5</xdr:row>
      <xdr:rowOff>123825</xdr:rowOff>
    </xdr:from>
    <xdr:to>
      <xdr:col>12</xdr:col>
      <xdr:colOff>504825</xdr:colOff>
      <xdr:row>21</xdr:row>
      <xdr:rowOff>114300</xdr:rowOff>
    </xdr:to>
    <xdr:pic>
      <xdr:nvPicPr>
        <xdr:cNvPr id="20580" name="Picture 4" descr="jesus">
          <a:extLst>
            <a:ext uri="{FF2B5EF4-FFF2-40B4-BE49-F238E27FC236}">
              <a16:creationId xmlns:a16="http://schemas.microsoft.com/office/drawing/2014/main" id="{7D33CBA8-50CE-604F-2313-550A9237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524000"/>
          <a:ext cx="2209800" cy="2981325"/>
        </a:xfrm>
        <a:prstGeom prst="rect">
          <a:avLst/>
        </a:prstGeom>
        <a:noFill/>
        <a:ln w="76200" cmpd="tri">
          <a:solidFill>
            <a:srgbClr val="FF99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1514475</xdr:colOff>
      <xdr:row>11</xdr:row>
      <xdr:rowOff>0</xdr:rowOff>
    </xdr:from>
    <xdr:to>
      <xdr:col>5</xdr:col>
      <xdr:colOff>1743075</xdr:colOff>
      <xdr:row>26</xdr:row>
      <xdr:rowOff>66675</xdr:rowOff>
    </xdr:to>
    <xdr:pic>
      <xdr:nvPicPr>
        <xdr:cNvPr id="15385" name="Picture 2">
          <a:extLst>
            <a:ext uri="{FF2B5EF4-FFF2-40B4-BE49-F238E27FC236}">
              <a16:creationId xmlns:a16="http://schemas.microsoft.com/office/drawing/2014/main" id="{9A807943-2020-1BB5-5AAD-BE1300D4A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3657600"/>
          <a:ext cx="5534025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104775</xdr:colOff>
      <xdr:row>0</xdr:row>
      <xdr:rowOff>0</xdr:rowOff>
    </xdr:from>
    <xdr:to>
      <xdr:col>12</xdr:col>
      <xdr:colOff>152400</xdr:colOff>
      <xdr:row>1</xdr:row>
      <xdr:rowOff>95250</xdr:rowOff>
    </xdr:to>
    <xdr:pic>
      <xdr:nvPicPr>
        <xdr:cNvPr id="1161" name="Picture 9" descr="football_ball">
          <a:extLst>
            <a:ext uri="{FF2B5EF4-FFF2-40B4-BE49-F238E27FC236}">
              <a16:creationId xmlns:a16="http://schemas.microsoft.com/office/drawing/2014/main" id="{7509F9C9-37AC-E41E-307F-FD21BAE46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0"/>
          <a:ext cx="390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76200</xdr:colOff>
      <xdr:row>0</xdr:row>
      <xdr:rowOff>0</xdr:rowOff>
    </xdr:from>
    <xdr:to>
      <xdr:col>37</xdr:col>
      <xdr:colOff>133350</xdr:colOff>
      <xdr:row>1</xdr:row>
      <xdr:rowOff>95250</xdr:rowOff>
    </xdr:to>
    <xdr:pic>
      <xdr:nvPicPr>
        <xdr:cNvPr id="1162" name="Picture 10" descr="football_ball">
          <a:extLst>
            <a:ext uri="{FF2B5EF4-FFF2-40B4-BE49-F238E27FC236}">
              <a16:creationId xmlns:a16="http://schemas.microsoft.com/office/drawing/2014/main" id="{70C67818-E829-D20B-0910-E55556F4E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0"/>
          <a:ext cx="390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76200</xdr:colOff>
      <xdr:row>2</xdr:row>
      <xdr:rowOff>0</xdr:rowOff>
    </xdr:from>
    <xdr:to>
      <xdr:col>98</xdr:col>
      <xdr:colOff>9525</xdr:colOff>
      <xdr:row>20</xdr:row>
      <xdr:rowOff>85725</xdr:rowOff>
    </xdr:to>
    <xdr:pic>
      <xdr:nvPicPr>
        <xdr:cNvPr id="1163" name="Picture 91">
          <a:extLst>
            <a:ext uri="{FF2B5EF4-FFF2-40B4-BE49-F238E27FC236}">
              <a16:creationId xmlns:a16="http://schemas.microsoft.com/office/drawing/2014/main" id="{CCD52D0B-1AA7-B579-49D6-00E38C78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57200"/>
          <a:ext cx="4848225" cy="325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8</xdr:col>
      <xdr:colOff>657225</xdr:colOff>
      <xdr:row>3</xdr:row>
      <xdr:rowOff>104775</xdr:rowOff>
    </xdr:to>
    <xdr:pic>
      <xdr:nvPicPr>
        <xdr:cNvPr id="18577" name="Picture 1" descr="lotto_1">
          <a:extLst>
            <a:ext uri="{FF2B5EF4-FFF2-40B4-BE49-F238E27FC236}">
              <a16:creationId xmlns:a16="http://schemas.microsoft.com/office/drawing/2014/main" id="{D1CF89BF-CC20-A7C6-253D-71240C22F389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57626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293370</xdr:colOff>
      <xdr:row>21</xdr:row>
      <xdr:rowOff>142875</xdr:rowOff>
    </xdr:from>
    <xdr:to>
      <xdr:col>10</xdr:col>
      <xdr:colOff>737236</xdr:colOff>
      <xdr:row>30</xdr:row>
      <xdr:rowOff>38100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28FC2A6-0367-E03A-AE4D-D84AC87224CF}"/>
            </a:ext>
          </a:extLst>
        </xdr:cNvPr>
        <xdr:cNvSpPr>
          <a:spLocks/>
        </xdr:cNvSpPr>
      </xdr:nvSpPr>
      <xdr:spPr bwMode="auto">
        <a:xfrm>
          <a:off x="5429250" y="3714750"/>
          <a:ext cx="2219325" cy="1352550"/>
        </a:xfrm>
        <a:prstGeom prst="borderCallout2">
          <a:avLst>
            <a:gd name="adj1" fmla="val 8449"/>
            <a:gd name="adj2" fmla="val -3602"/>
            <a:gd name="adj3" fmla="val 8449"/>
            <a:gd name="adj4" fmla="val -25227"/>
            <a:gd name="adj5" fmla="val -135917"/>
            <a:gd name="adj6" fmla="val -32431"/>
          </a:avLst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=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COUNTIF($A$8:$F$8;A11) + 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COUNTIF($A$8:$F$8;B11) +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COUNTIF($A$8:$F$8;C11) +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COUNTIF($A$8:$F$8;D11) +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COUNTIF($A$8:$F$8;E11) +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COUNTIF($A$8:$F$8;F11)</a:t>
          </a:r>
        </a:p>
      </xdr:txBody>
    </xdr:sp>
    <xdr:clientData/>
  </xdr:twoCellAnchor>
  <xdr:twoCellAnchor>
    <xdr:from>
      <xdr:col>8</xdr:col>
      <xdr:colOff>605790</xdr:colOff>
      <xdr:row>13</xdr:row>
      <xdr:rowOff>83820</xdr:rowOff>
    </xdr:from>
    <xdr:to>
      <xdr:col>9</xdr:col>
      <xdr:colOff>710565</xdr:colOff>
      <xdr:row>15</xdr:row>
      <xdr:rowOff>28752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1B438ADA-7B43-C628-6BF7-FF8FB71A23AF}"/>
            </a:ext>
          </a:extLst>
        </xdr:cNvPr>
        <xdr:cNvSpPr>
          <a:spLocks/>
        </xdr:cNvSpPr>
      </xdr:nvSpPr>
      <xdr:spPr bwMode="auto">
        <a:xfrm>
          <a:off x="5743575" y="2362200"/>
          <a:ext cx="1009650" cy="266700"/>
        </a:xfrm>
        <a:prstGeom prst="borderCallout1">
          <a:avLst>
            <a:gd name="adj1" fmla="val 42856"/>
            <a:gd name="adj2" fmla="val 108421"/>
            <a:gd name="adj3" fmla="val -403569"/>
            <a:gd name="adj4" fmla="val 129472"/>
          </a:avLst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=J8*$M$5</a:t>
          </a:r>
        </a:p>
      </xdr:txBody>
    </xdr:sp>
    <xdr:clientData/>
  </xdr:twoCellAnchor>
  <xdr:twoCellAnchor>
    <xdr:from>
      <xdr:col>8</xdr:col>
      <xdr:colOff>160020</xdr:colOff>
      <xdr:row>17</xdr:row>
      <xdr:rowOff>112395</xdr:rowOff>
    </xdr:from>
    <xdr:to>
      <xdr:col>10</xdr:col>
      <xdr:colOff>861066</xdr:colOff>
      <xdr:row>18</xdr:row>
      <xdr:rowOff>150495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A816635-56B4-136A-577E-854BDB3C2027}"/>
            </a:ext>
          </a:extLst>
        </xdr:cNvPr>
        <xdr:cNvSpPr>
          <a:spLocks/>
        </xdr:cNvSpPr>
      </xdr:nvSpPr>
      <xdr:spPr bwMode="auto">
        <a:xfrm>
          <a:off x="5295900" y="3038475"/>
          <a:ext cx="2486025" cy="200025"/>
        </a:xfrm>
        <a:prstGeom prst="borderCallout1">
          <a:avLst>
            <a:gd name="adj1" fmla="val 57144"/>
            <a:gd name="adj2" fmla="val 103065"/>
            <a:gd name="adj3" fmla="val -876190"/>
            <a:gd name="adj4" fmla="val 125671"/>
          </a:avLst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=COUNTIF($G$11:$G$46;"=6")</a:t>
          </a:r>
        </a:p>
      </xdr:txBody>
    </xdr:sp>
    <xdr:clientData/>
  </xdr:twoCellAnchor>
  <xdr:twoCellAnchor>
    <xdr:from>
      <xdr:col>8</xdr:col>
      <xdr:colOff>369570</xdr:colOff>
      <xdr:row>19</xdr:row>
      <xdr:rowOff>142875</xdr:rowOff>
    </xdr:from>
    <xdr:to>
      <xdr:col>10</xdr:col>
      <xdr:colOff>899191</xdr:colOff>
      <xdr:row>21</xdr:row>
      <xdr:rowOff>9525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054BF6D-EB56-B1D2-F851-489450BC788A}"/>
            </a:ext>
          </a:extLst>
        </xdr:cNvPr>
        <xdr:cNvSpPr>
          <a:spLocks/>
        </xdr:cNvSpPr>
      </xdr:nvSpPr>
      <xdr:spPr bwMode="auto">
        <a:xfrm>
          <a:off x="5505450" y="3390900"/>
          <a:ext cx="2314575" cy="190500"/>
        </a:xfrm>
        <a:prstGeom prst="borderCallout1">
          <a:avLst>
            <a:gd name="adj1" fmla="val 60000"/>
            <a:gd name="adj2" fmla="val 103292"/>
            <a:gd name="adj3" fmla="val -1020000"/>
            <a:gd name="adj4" fmla="val 141153"/>
          </a:avLst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=IF(L8&lt;&gt;0;K8/L8;"</a:t>
          </a:r>
          <a:r>
            <a:rPr lang="el-GR" sz="1200" b="0" i="0" u="none" strike="noStrike" baseline="0">
              <a:solidFill>
                <a:schemeClr val="accent6"/>
              </a:solidFill>
              <a:latin typeface="Arial"/>
              <a:cs typeface="Arial"/>
            </a:rPr>
            <a:t>ΤΖΑΚ ΠΟΤ")</a:t>
          </a:r>
        </a:p>
      </xdr:txBody>
    </xdr:sp>
    <xdr:clientData/>
  </xdr:twoCellAnchor>
  <xdr:twoCellAnchor editAs="oneCell">
    <xdr:from>
      <xdr:col>10</xdr:col>
      <xdr:colOff>190500</xdr:colOff>
      <xdr:row>0</xdr:row>
      <xdr:rowOff>28575</xdr:rowOff>
    </xdr:from>
    <xdr:to>
      <xdr:col>11</xdr:col>
      <xdr:colOff>476250</xdr:colOff>
      <xdr:row>3</xdr:row>
      <xdr:rowOff>142875</xdr:rowOff>
    </xdr:to>
    <xdr:pic>
      <xdr:nvPicPr>
        <xdr:cNvPr id="18582" name="Picture 6">
          <a:extLst>
            <a:ext uri="{FF2B5EF4-FFF2-40B4-BE49-F238E27FC236}">
              <a16:creationId xmlns:a16="http://schemas.microsoft.com/office/drawing/2014/main" id="{BD6BF87B-2F9C-BC98-8CA5-4FE125097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8575"/>
          <a:ext cx="12858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379096</xdr:colOff>
      <xdr:row>0</xdr:row>
      <xdr:rowOff>220980</xdr:rowOff>
    </xdr:from>
    <xdr:to>
      <xdr:col>1</xdr:col>
      <xdr:colOff>626746</xdr:colOff>
      <xdr:row>3</xdr:row>
      <xdr:rowOff>114353</xdr:rowOff>
    </xdr:to>
    <xdr:cxnSp macro="">
      <xdr:nvCxnSpPr>
        <xdr:cNvPr id="2" name="1 - Ευθύγραμμο βέλος σύνδεσης">
          <a:extLst>
            <a:ext uri="{FF2B5EF4-FFF2-40B4-BE49-F238E27FC236}">
              <a16:creationId xmlns:a16="http://schemas.microsoft.com/office/drawing/2014/main" id="{8272BA36-0E3B-BF93-1D6A-B4815B5C1934}"/>
            </a:ext>
          </a:extLst>
        </xdr:cNvPr>
        <xdr:cNvCxnSpPr/>
      </xdr:nvCxnSpPr>
      <xdr:spPr>
        <a:xfrm rot="5400000" flipH="1" flipV="1">
          <a:off x="804863" y="404813"/>
          <a:ext cx="619125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550545</xdr:colOff>
      <xdr:row>0</xdr:row>
      <xdr:rowOff>190498</xdr:rowOff>
    </xdr:from>
    <xdr:to>
      <xdr:col>2</xdr:col>
      <xdr:colOff>813566</xdr:colOff>
      <xdr:row>4</xdr:row>
      <xdr:rowOff>142877</xdr:rowOff>
    </xdr:to>
    <xdr:cxnSp macro="">
      <xdr:nvCxnSpPr>
        <xdr:cNvPr id="3" name="2 - Ευθύγραμμο βέλος σύνδεσης">
          <a:extLst>
            <a:ext uri="{FF2B5EF4-FFF2-40B4-BE49-F238E27FC236}">
              <a16:creationId xmlns:a16="http://schemas.microsoft.com/office/drawing/2014/main" id="{12CC83D3-8E43-BD66-9EBD-3D243D123278}"/>
            </a:ext>
          </a:extLst>
        </xdr:cNvPr>
        <xdr:cNvCxnSpPr/>
      </xdr:nvCxnSpPr>
      <xdr:spPr>
        <a:xfrm rot="5400000" flipH="1" flipV="1">
          <a:off x="1681162" y="519111"/>
          <a:ext cx="914404" cy="25717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558164</xdr:colOff>
      <xdr:row>0</xdr:row>
      <xdr:rowOff>190501</xdr:rowOff>
    </xdr:from>
    <xdr:to>
      <xdr:col>4</xdr:col>
      <xdr:colOff>9588</xdr:colOff>
      <xdr:row>5</xdr:row>
      <xdr:rowOff>125757</xdr:rowOff>
    </xdr:to>
    <xdr:cxnSp macro="">
      <xdr:nvCxnSpPr>
        <xdr:cNvPr id="4" name="3 - Ευθύγραμμο βέλος σύνδεσης">
          <a:extLst>
            <a:ext uri="{FF2B5EF4-FFF2-40B4-BE49-F238E27FC236}">
              <a16:creationId xmlns:a16="http://schemas.microsoft.com/office/drawing/2014/main" id="{A5AD006D-97A9-B8AA-59B5-E90A90A4ED82}"/>
            </a:ext>
          </a:extLst>
        </xdr:cNvPr>
        <xdr:cNvCxnSpPr/>
      </xdr:nvCxnSpPr>
      <xdr:spPr>
        <a:xfrm rot="5400000" flipH="1" flipV="1">
          <a:off x="2443162" y="614363"/>
          <a:ext cx="1143000" cy="295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171451</xdr:colOff>
      <xdr:row>0</xdr:row>
      <xdr:rowOff>238125</xdr:rowOff>
    </xdr:from>
    <xdr:to>
      <xdr:col>5</xdr:col>
      <xdr:colOff>265258</xdr:colOff>
      <xdr:row>6</xdr:row>
      <xdr:rowOff>142875</xdr:rowOff>
    </xdr:to>
    <xdr:cxnSp macro="">
      <xdr:nvCxnSpPr>
        <xdr:cNvPr id="5" name="4 - Ευθύγραμμο βέλος σύνδεσης">
          <a:extLst>
            <a:ext uri="{FF2B5EF4-FFF2-40B4-BE49-F238E27FC236}">
              <a16:creationId xmlns:a16="http://schemas.microsoft.com/office/drawing/2014/main" id="{53A06F1B-6DD3-BAB3-B475-BA64E831E272}"/>
            </a:ext>
          </a:extLst>
        </xdr:cNvPr>
        <xdr:cNvCxnSpPr/>
      </xdr:nvCxnSpPr>
      <xdr:spPr>
        <a:xfrm rot="5400000" flipH="1" flipV="1">
          <a:off x="3548063" y="862013"/>
          <a:ext cx="1343025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590550</xdr:colOff>
      <xdr:row>10</xdr:row>
      <xdr:rowOff>76200</xdr:rowOff>
    </xdr:from>
    <xdr:to>
      <xdr:col>15</xdr:col>
      <xdr:colOff>85725</xdr:colOff>
      <xdr:row>26</xdr:row>
      <xdr:rowOff>85725</xdr:rowOff>
    </xdr:to>
    <xdr:pic>
      <xdr:nvPicPr>
        <xdr:cNvPr id="16509" name="Picture 2">
          <a:extLst>
            <a:ext uri="{FF2B5EF4-FFF2-40B4-BE49-F238E27FC236}">
              <a16:creationId xmlns:a16="http://schemas.microsoft.com/office/drawing/2014/main" id="{770D665C-59A5-A77D-46F8-2216C512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2390775"/>
          <a:ext cx="5800725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20</xdr:row>
      <xdr:rowOff>9525</xdr:rowOff>
    </xdr:from>
    <xdr:to>
      <xdr:col>7</xdr:col>
      <xdr:colOff>142875</xdr:colOff>
      <xdr:row>21</xdr:row>
      <xdr:rowOff>38100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61596A-792B-E585-4C52-8A1B21FAD1D3}"/>
            </a:ext>
          </a:extLst>
        </xdr:cNvPr>
        <xdr:cNvSpPr>
          <a:spLocks/>
        </xdr:cNvSpPr>
      </xdr:nvSpPr>
      <xdr:spPr bwMode="auto">
        <a:xfrm>
          <a:off x="47625" y="3571875"/>
          <a:ext cx="5829300" cy="190500"/>
        </a:xfrm>
        <a:prstGeom prst="borderCallout3">
          <a:avLst>
            <a:gd name="adj1" fmla="val 60000"/>
            <a:gd name="adj2" fmla="val 101306"/>
            <a:gd name="adj3" fmla="val 60000"/>
            <a:gd name="adj4" fmla="val 101963"/>
            <a:gd name="adj5" fmla="val -675000"/>
            <a:gd name="adj6" fmla="val 101963"/>
            <a:gd name="adj7" fmla="val -1415000"/>
            <a:gd name="adj8" fmla="val 83662"/>
          </a:avLst>
        </a:prstGeom>
        <a:solidFill>
          <a:srgbClr val="000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=IF(HOUR(F4)&lt;12;"</a:t>
          </a:r>
          <a:r>
            <a:rPr lang="el-GR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ΠΡΩΙ";</a:t>
          </a: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IF(HOUR(F4)&lt;16;"</a:t>
          </a:r>
          <a:r>
            <a:rPr lang="el-GR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ΜΕΣΗΜΕΡΙ";</a:t>
          </a: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IF(HOUR(F4)&lt;19;"</a:t>
          </a:r>
          <a:r>
            <a:rPr lang="el-GR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ΑΠΟΓΕΥΜΑ";"ΒΡΑΔΥ")))</a:t>
          </a:r>
        </a:p>
      </xdr:txBody>
    </xdr:sp>
    <xdr:clientData/>
  </xdr:twoCellAnchor>
  <xdr:twoCellAnchor>
    <xdr:from>
      <xdr:col>0</xdr:col>
      <xdr:colOff>47625</xdr:colOff>
      <xdr:row>10</xdr:row>
      <xdr:rowOff>28575</xdr:rowOff>
    </xdr:from>
    <xdr:to>
      <xdr:col>1</xdr:col>
      <xdr:colOff>198135</xdr:colOff>
      <xdr:row>11</xdr:row>
      <xdr:rowOff>76200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6895AA5-D6F9-136E-F644-476D50C1C353}"/>
            </a:ext>
          </a:extLst>
        </xdr:cNvPr>
        <xdr:cNvSpPr>
          <a:spLocks/>
        </xdr:cNvSpPr>
      </xdr:nvSpPr>
      <xdr:spPr bwMode="auto">
        <a:xfrm>
          <a:off x="47625" y="1971675"/>
          <a:ext cx="1181100" cy="209550"/>
        </a:xfrm>
        <a:prstGeom prst="borderCallout3">
          <a:avLst>
            <a:gd name="adj1" fmla="val 54546"/>
            <a:gd name="adj2" fmla="val 106454"/>
            <a:gd name="adj3" fmla="val 54546"/>
            <a:gd name="adj4" fmla="val 175000"/>
            <a:gd name="adj5" fmla="val 4546"/>
            <a:gd name="adj6" fmla="val 175000"/>
            <a:gd name="adj7" fmla="val -50000"/>
            <a:gd name="adj8" fmla="val 167741"/>
          </a:avLst>
        </a:prstGeom>
        <a:solidFill>
          <a:srgbClr val="000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=WEEKDAY(B10;2)</a:t>
          </a:r>
        </a:p>
      </xdr:txBody>
    </xdr:sp>
    <xdr:clientData/>
  </xdr:twoCellAnchor>
  <xdr:twoCellAnchor>
    <xdr:from>
      <xdr:col>3</xdr:col>
      <xdr:colOff>114300</xdr:colOff>
      <xdr:row>17</xdr:row>
      <xdr:rowOff>95250</xdr:rowOff>
    </xdr:from>
    <xdr:to>
      <xdr:col>5</xdr:col>
      <xdr:colOff>662854</xdr:colOff>
      <xdr:row>18</xdr:row>
      <xdr:rowOff>142875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35397F1-F01A-81CC-3267-1018DE5D7857}"/>
            </a:ext>
          </a:extLst>
        </xdr:cNvPr>
        <xdr:cNvSpPr>
          <a:spLocks/>
        </xdr:cNvSpPr>
      </xdr:nvSpPr>
      <xdr:spPr bwMode="auto">
        <a:xfrm>
          <a:off x="2771775" y="3171825"/>
          <a:ext cx="1933575" cy="209550"/>
        </a:xfrm>
        <a:prstGeom prst="borderCallout3">
          <a:avLst>
            <a:gd name="adj1" fmla="val 54546"/>
            <a:gd name="adj2" fmla="val 103940"/>
            <a:gd name="adj3" fmla="val 54546"/>
            <a:gd name="adj4" fmla="val 106403"/>
            <a:gd name="adj5" fmla="val -213634"/>
            <a:gd name="adj6" fmla="val 106403"/>
            <a:gd name="adj7" fmla="val -600000"/>
            <a:gd name="adj8" fmla="val -3940"/>
          </a:avLst>
        </a:prstGeom>
        <a:solidFill>
          <a:srgbClr val="000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=VLOOKUP(C10;$B$13:$C$19;2)</a:t>
          </a:r>
        </a:p>
      </xdr:txBody>
    </xdr:sp>
    <xdr:clientData/>
  </xdr:twoCellAnchor>
  <xdr:twoCellAnchor>
    <xdr:from>
      <xdr:col>5</xdr:col>
      <xdr:colOff>264795</xdr:colOff>
      <xdr:row>12</xdr:row>
      <xdr:rowOff>9525</xdr:rowOff>
    </xdr:from>
    <xdr:to>
      <xdr:col>7</xdr:col>
      <xdr:colOff>104796</xdr:colOff>
      <xdr:row>13</xdr:row>
      <xdr:rowOff>28575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AABDFCC-8A0C-047A-EBEF-9FD44456E2B4}"/>
            </a:ext>
          </a:extLst>
        </xdr:cNvPr>
        <xdr:cNvSpPr>
          <a:spLocks/>
        </xdr:cNvSpPr>
      </xdr:nvSpPr>
      <xdr:spPr bwMode="auto">
        <a:xfrm>
          <a:off x="4305300" y="2276475"/>
          <a:ext cx="1533525" cy="180975"/>
        </a:xfrm>
        <a:prstGeom prst="borderCallout2">
          <a:avLst>
            <a:gd name="adj1" fmla="val 63157"/>
            <a:gd name="adj2" fmla="val -4968"/>
            <a:gd name="adj3" fmla="val 63157"/>
            <a:gd name="adj4" fmla="val -14287"/>
            <a:gd name="adj5" fmla="val -215792"/>
            <a:gd name="adj6" fmla="val -23602"/>
          </a:avLst>
        </a:prstGeom>
        <a:solidFill>
          <a:srgbClr val="000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chemeClr val="tx2">
                  <a:lumMod val="60000"/>
                  <a:lumOff val="40000"/>
                </a:schemeClr>
              </a:solidFill>
              <a:latin typeface="Arial"/>
              <a:cs typeface="Arial"/>
            </a:rPr>
            <a:t>=DAYS360(B10;F4;TRUE)</a:t>
          </a:r>
        </a:p>
      </xdr:txBody>
    </xdr:sp>
    <xdr:clientData/>
  </xdr:twoCellAnchor>
  <xdr:twoCellAnchor editAs="oneCell">
    <xdr:from>
      <xdr:col>6</xdr:col>
      <xdr:colOff>295275</xdr:colOff>
      <xdr:row>1</xdr:row>
      <xdr:rowOff>47625</xdr:rowOff>
    </xdr:from>
    <xdr:to>
      <xdr:col>8</xdr:col>
      <xdr:colOff>123825</xdr:colOff>
      <xdr:row>8</xdr:row>
      <xdr:rowOff>104775</xdr:rowOff>
    </xdr:to>
    <xdr:pic>
      <xdr:nvPicPr>
        <xdr:cNvPr id="19629" name="Picture 6" descr="ikea_dekad">
          <a:extLst>
            <a:ext uri="{FF2B5EF4-FFF2-40B4-BE49-F238E27FC236}">
              <a16:creationId xmlns:a16="http://schemas.microsoft.com/office/drawing/2014/main" id="{09123EA4-8C93-24BB-F22F-7AC24BC88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209550"/>
          <a:ext cx="10477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3</xdr:row>
      <xdr:rowOff>152400</xdr:rowOff>
    </xdr:from>
    <xdr:to>
      <xdr:col>0</xdr:col>
      <xdr:colOff>981075</xdr:colOff>
      <xdr:row>7</xdr:row>
      <xdr:rowOff>114300</xdr:rowOff>
    </xdr:to>
    <xdr:pic>
      <xdr:nvPicPr>
        <xdr:cNvPr id="19630" name="Picture 7" descr="Calendar">
          <a:extLst>
            <a:ext uri="{FF2B5EF4-FFF2-40B4-BE49-F238E27FC236}">
              <a16:creationId xmlns:a16="http://schemas.microsoft.com/office/drawing/2014/main" id="{971FC255-D09E-7586-BAB1-A7EEE5BD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38175"/>
          <a:ext cx="9525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12</xdr:row>
      <xdr:rowOff>152400</xdr:rowOff>
    </xdr:from>
    <xdr:to>
      <xdr:col>4</xdr:col>
      <xdr:colOff>257175</xdr:colOff>
      <xdr:row>17</xdr:row>
      <xdr:rowOff>19050</xdr:rowOff>
    </xdr:to>
    <xdr:pic>
      <xdr:nvPicPr>
        <xdr:cNvPr id="19631" name="Picture 8" descr="calendar_640x480">
          <a:extLst>
            <a:ext uri="{FF2B5EF4-FFF2-40B4-BE49-F238E27FC236}">
              <a16:creationId xmlns:a16="http://schemas.microsoft.com/office/drawing/2014/main" id="{427DE0B5-DB44-992B-D183-0F155878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419350"/>
          <a:ext cx="9048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5</xdr:row>
      <xdr:rowOff>0</xdr:rowOff>
    </xdr:from>
    <xdr:to>
      <xdr:col>12</xdr:col>
      <xdr:colOff>381000</xdr:colOff>
      <xdr:row>20</xdr:row>
      <xdr:rowOff>47625</xdr:rowOff>
    </xdr:to>
    <xdr:pic>
      <xdr:nvPicPr>
        <xdr:cNvPr id="21529" name="Picture 1" descr="MPj04088710000[1]">
          <a:extLst>
            <a:ext uri="{FF2B5EF4-FFF2-40B4-BE49-F238E27FC236}">
              <a16:creationId xmlns:a16="http://schemas.microsoft.com/office/drawing/2014/main" id="{9116028A-3F84-CBAE-F5AC-144DA062B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28675"/>
          <a:ext cx="2724150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4" Type="http://schemas.openxmlformats.org/officeDocument/2006/relationships/image" Target="../media/image4.wmf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&#913;&#955;&#941;&#958;&#951;&#962;\AppData\Roaming\Microsoft\Excel\thermidometritis_FE.pdf" TargetMode="External"/><Relationship Id="rId2" Type="http://schemas.openxmlformats.org/officeDocument/2006/relationships/hyperlink" Target="file:///C:\Users\&#913;&#955;&#941;&#958;&#951;&#962;\AppData\Roaming\Microsoft\Excel\thermidometritis_FE.doc" TargetMode="External"/><Relationship Id="rId1" Type="http://schemas.openxmlformats.org/officeDocument/2006/relationships/hyperlink" Target="http://www.nutritiondata.com/searchbox.html" TargetMode="External"/><Relationship Id="rId5" Type="http://schemas.openxmlformats.org/officeDocument/2006/relationships/drawing" Target="../drawings/drawing18.xml"/><Relationship Id="rId4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685B-6BC7-4D1D-9A2C-DC42BCF68E4A}">
  <dimension ref="A1:M17"/>
  <sheetViews>
    <sheetView workbookViewId="0">
      <selection activeCell="L2" sqref="L2"/>
    </sheetView>
  </sheetViews>
  <sheetFormatPr defaultRowHeight="15" x14ac:dyDescent="0.25"/>
  <cols>
    <col min="1" max="2" width="10.7109375" style="148" bestFit="1" customWidth="1"/>
    <col min="3" max="3" width="12.42578125" style="148" bestFit="1" customWidth="1"/>
    <col min="4" max="4" width="11.5703125" style="148" bestFit="1" customWidth="1"/>
    <col min="5" max="5" width="11.85546875" style="148" bestFit="1" customWidth="1"/>
    <col min="6" max="6" width="10.85546875" style="148" bestFit="1" customWidth="1"/>
    <col min="7" max="8" width="10.7109375" style="148" bestFit="1" customWidth="1"/>
    <col min="9" max="9" width="12.85546875" style="148" bestFit="1" customWidth="1"/>
    <col min="10" max="10" width="10.7109375" style="148" bestFit="1" customWidth="1"/>
    <col min="11" max="11" width="14" style="148" customWidth="1"/>
    <col min="12" max="12" width="14.42578125" style="148" customWidth="1"/>
    <col min="13" max="16384" width="9.140625" style="148"/>
  </cols>
  <sheetData>
    <row r="1" spans="1:13" x14ac:dyDescent="0.25">
      <c r="A1" s="148" t="s">
        <v>739</v>
      </c>
      <c r="B1" s="148" t="s">
        <v>740</v>
      </c>
      <c r="C1" s="148" t="s">
        <v>741</v>
      </c>
      <c r="D1" s="148" t="s">
        <v>742</v>
      </c>
      <c r="E1" s="148" t="s">
        <v>743</v>
      </c>
      <c r="F1" s="148" t="s">
        <v>744</v>
      </c>
      <c r="G1" s="148" t="s">
        <v>745</v>
      </c>
      <c r="H1" s="148" t="s">
        <v>746</v>
      </c>
      <c r="I1" s="148" t="s">
        <v>747</v>
      </c>
      <c r="J1" s="148" t="s">
        <v>748</v>
      </c>
      <c r="K1" s="148" t="s">
        <v>749</v>
      </c>
      <c r="L1" s="148" t="s">
        <v>750</v>
      </c>
    </row>
    <row r="2" spans="1:13" x14ac:dyDescent="0.25">
      <c r="A2" s="148">
        <v>63200</v>
      </c>
      <c r="B2" s="156">
        <v>63200</v>
      </c>
      <c r="C2" s="256">
        <v>0.63200000000000001</v>
      </c>
      <c r="D2" s="257">
        <v>63200</v>
      </c>
      <c r="E2" s="154">
        <v>63200</v>
      </c>
      <c r="F2" s="216">
        <v>0.63200000000000001</v>
      </c>
      <c r="G2" s="258">
        <v>0.63200000000000001</v>
      </c>
      <c r="H2" s="219">
        <v>0.63200000000000001</v>
      </c>
      <c r="I2" s="259">
        <v>63200</v>
      </c>
      <c r="J2" s="155">
        <v>63200</v>
      </c>
      <c r="K2" s="260">
        <v>-63200</v>
      </c>
      <c r="L2" s="261">
        <v>43</v>
      </c>
      <c r="M2" s="212" t="s">
        <v>751</v>
      </c>
    </row>
    <row r="3" spans="1:13" x14ac:dyDescent="0.25">
      <c r="E3" s="154"/>
      <c r="F3" s="213"/>
    </row>
    <row r="4" spans="1:13" x14ac:dyDescent="0.25">
      <c r="E4" s="154"/>
      <c r="F4" s="214"/>
    </row>
    <row r="5" spans="1:13" x14ac:dyDescent="0.25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</row>
    <row r="6" spans="1:13" x14ac:dyDescent="0.25">
      <c r="A6" s="214"/>
      <c r="B6" s="214"/>
      <c r="C6" s="214"/>
      <c r="D6" s="214"/>
      <c r="E6" s="214"/>
      <c r="F6" s="214"/>
      <c r="G6" s="214"/>
      <c r="H6" s="214"/>
      <c r="I6" s="214"/>
      <c r="J6" s="214"/>
      <c r="K6" s="214"/>
    </row>
    <row r="11" spans="1:13" x14ac:dyDescent="0.25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</row>
    <row r="17" spans="1:3" ht="15.75" x14ac:dyDescent="0.3">
      <c r="A17" s="264"/>
      <c r="B17" s="264"/>
      <c r="C17" s="264"/>
    </row>
  </sheetData>
  <mergeCells count="1">
    <mergeCell ref="A17:C17"/>
  </mergeCells>
  <pageMargins left="0.7" right="0.7" top="0.75" bottom="0.75" header="0.3" footer="0.3"/>
  <pageSetup paperSize="9" orientation="portrait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21AC-2083-4FC0-816C-0228F8F6C6B7}">
  <dimension ref="A1:E17"/>
  <sheetViews>
    <sheetView workbookViewId="0">
      <selection activeCell="K29" sqref="K29"/>
    </sheetView>
  </sheetViews>
  <sheetFormatPr defaultRowHeight="15" x14ac:dyDescent="0.25"/>
  <cols>
    <col min="1" max="2" width="11.140625" style="148" customWidth="1"/>
    <col min="3" max="3" width="13.7109375" style="148" customWidth="1"/>
    <col min="4" max="5" width="11.140625" style="148" customWidth="1"/>
    <col min="6" max="6" width="9.85546875" style="148" bestFit="1" customWidth="1"/>
    <col min="7" max="7" width="9.140625" style="148"/>
    <col min="8" max="8" width="10.140625" style="148" bestFit="1" customWidth="1"/>
    <col min="9" max="9" width="9.85546875" style="148" bestFit="1" customWidth="1"/>
    <col min="10" max="16384" width="9.140625" style="148"/>
  </cols>
  <sheetData>
    <row r="1" spans="1:5" x14ac:dyDescent="0.25">
      <c r="A1" s="148" t="s">
        <v>752</v>
      </c>
    </row>
    <row r="3" spans="1:5" x14ac:dyDescent="0.25">
      <c r="A3" s="148" t="s">
        <v>753</v>
      </c>
      <c r="B3" s="148" t="s">
        <v>754</v>
      </c>
      <c r="C3" s="148" t="s">
        <v>755</v>
      </c>
      <c r="D3" s="148" t="s">
        <v>756</v>
      </c>
      <c r="E3" s="148" t="s">
        <v>757</v>
      </c>
    </row>
    <row r="4" spans="1:5" x14ac:dyDescent="0.25">
      <c r="A4" s="148">
        <v>19</v>
      </c>
      <c r="B4" s="148">
        <v>19</v>
      </c>
      <c r="C4" s="148">
        <v>19</v>
      </c>
      <c r="D4" s="148">
        <v>19</v>
      </c>
      <c r="E4" s="148">
        <v>19</v>
      </c>
    </row>
    <row r="5" spans="1:5" x14ac:dyDescent="0.25">
      <c r="A5" s="148">
        <v>12</v>
      </c>
      <c r="B5" s="148">
        <v>12</v>
      </c>
      <c r="C5" s="148">
        <v>12</v>
      </c>
      <c r="D5" s="148">
        <v>12</v>
      </c>
      <c r="E5" s="148">
        <v>12</v>
      </c>
    </row>
    <row r="6" spans="1:5" x14ac:dyDescent="0.25">
      <c r="A6" s="148">
        <v>20</v>
      </c>
      <c r="B6" s="148">
        <v>20</v>
      </c>
      <c r="C6" s="148">
        <v>20</v>
      </c>
      <c r="D6" s="148">
        <v>20</v>
      </c>
      <c r="E6" s="148">
        <v>20</v>
      </c>
    </row>
    <row r="7" spans="1:5" x14ac:dyDescent="0.25">
      <c r="A7" s="148">
        <v>15</v>
      </c>
      <c r="B7" s="148">
        <v>15</v>
      </c>
      <c r="C7" s="148">
        <v>15</v>
      </c>
      <c r="D7" s="148">
        <v>15</v>
      </c>
      <c r="E7" s="148">
        <v>15</v>
      </c>
    </row>
    <row r="8" spans="1:5" x14ac:dyDescent="0.25">
      <c r="A8" s="148">
        <v>18</v>
      </c>
      <c r="B8" s="148">
        <v>18</v>
      </c>
      <c r="C8" s="148">
        <v>18</v>
      </c>
      <c r="D8" s="148">
        <v>18</v>
      </c>
      <c r="E8" s="148">
        <v>18</v>
      </c>
    </row>
    <row r="9" spans="1:5" ht="15.75" thickBot="1" x14ac:dyDescent="0.3">
      <c r="A9" s="148">
        <v>17</v>
      </c>
      <c r="B9" s="148">
        <v>17</v>
      </c>
      <c r="C9" s="148">
        <v>17</v>
      </c>
      <c r="D9" s="148">
        <v>17</v>
      </c>
      <c r="E9" s="148">
        <v>17</v>
      </c>
    </row>
    <row r="10" spans="1:5" ht="15.75" thickBot="1" x14ac:dyDescent="0.3">
      <c r="A10" s="230">
        <f>SUM(A4:A9)</f>
        <v>101</v>
      </c>
      <c r="B10" s="231">
        <f>AVERAGE(B4:B9)</f>
        <v>16.833333333333332</v>
      </c>
      <c r="C10" s="231">
        <f>COUNT(C4:C9)</f>
        <v>6</v>
      </c>
      <c r="D10" s="231">
        <f>MAX(D4:D9)</f>
        <v>20</v>
      </c>
      <c r="E10" s="232">
        <f>MIN(E4:E9)</f>
        <v>12</v>
      </c>
    </row>
    <row r="17" spans="1:3" ht="15.75" x14ac:dyDescent="0.3">
      <c r="A17" s="264"/>
      <c r="B17" s="264"/>
      <c r="C17" s="264"/>
    </row>
  </sheetData>
  <mergeCells count="1">
    <mergeCell ref="A17:C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38D7-68DD-48EE-BF2E-4BE42ED897B2}">
  <dimension ref="A1:O14"/>
  <sheetViews>
    <sheetView workbookViewId="0">
      <selection activeCell="M3" sqref="M3"/>
    </sheetView>
  </sheetViews>
  <sheetFormatPr defaultRowHeight="12.75" x14ac:dyDescent="0.2"/>
  <cols>
    <col min="1" max="16384" width="9.140625" style="221"/>
  </cols>
  <sheetData>
    <row r="1" spans="1:15" ht="13.5" thickBot="1" x14ac:dyDescent="0.25">
      <c r="A1" s="233" t="s">
        <v>788</v>
      </c>
      <c r="K1" s="233" t="s">
        <v>789</v>
      </c>
    </row>
    <row r="2" spans="1:15" ht="19.5" customHeight="1" thickBot="1" x14ac:dyDescent="0.25">
      <c r="A2" s="222">
        <v>5</v>
      </c>
      <c r="C2" s="223">
        <f>INT(A2)</f>
        <v>5</v>
      </c>
      <c r="E2" s="221" t="s">
        <v>781</v>
      </c>
      <c r="K2" s="222">
        <v>5</v>
      </c>
      <c r="M2" s="223">
        <f>ROUND(K2,0)</f>
        <v>5</v>
      </c>
      <c r="O2" s="233" t="s">
        <v>790</v>
      </c>
    </row>
    <row r="3" spans="1:15" ht="19.5" customHeight="1" thickBot="1" x14ac:dyDescent="0.3">
      <c r="A3" s="222">
        <v>5.0999999999999996</v>
      </c>
      <c r="C3" s="223">
        <f t="shared" ref="C3:C14" si="0">INT(A3)</f>
        <v>5</v>
      </c>
      <c r="E3" s="221" t="s">
        <v>782</v>
      </c>
      <c r="K3" s="222">
        <v>5.0999999999999996</v>
      </c>
      <c r="M3" s="223"/>
      <c r="O3" s="233" t="s">
        <v>791</v>
      </c>
    </row>
    <row r="4" spans="1:15" ht="19.5" customHeight="1" thickBot="1" x14ac:dyDescent="0.3">
      <c r="A4" s="222">
        <v>5.2</v>
      </c>
      <c r="C4" s="223">
        <f t="shared" si="0"/>
        <v>5</v>
      </c>
      <c r="E4" s="221" t="s">
        <v>783</v>
      </c>
      <c r="K4" s="222">
        <v>5.2</v>
      </c>
      <c r="M4" s="223"/>
      <c r="O4" s="233" t="s">
        <v>792</v>
      </c>
    </row>
    <row r="5" spans="1:15" ht="19.5" customHeight="1" thickBot="1" x14ac:dyDescent="0.3">
      <c r="A5" s="222">
        <v>5.3</v>
      </c>
      <c r="C5" s="223">
        <f t="shared" si="0"/>
        <v>5</v>
      </c>
      <c r="E5" s="221" t="s">
        <v>784</v>
      </c>
      <c r="K5" s="222">
        <v>5.3</v>
      </c>
      <c r="M5" s="223"/>
      <c r="O5" s="233" t="s">
        <v>793</v>
      </c>
    </row>
    <row r="6" spans="1:15" ht="19.5" customHeight="1" thickBot="1" x14ac:dyDescent="0.25">
      <c r="A6" s="222">
        <v>5.4</v>
      </c>
      <c r="C6" s="223">
        <f t="shared" si="0"/>
        <v>5</v>
      </c>
      <c r="E6" s="222" t="s">
        <v>785</v>
      </c>
      <c r="K6" s="222">
        <v>5.4</v>
      </c>
      <c r="M6" s="223"/>
      <c r="O6" s="222" t="s">
        <v>785</v>
      </c>
    </row>
    <row r="7" spans="1:15" ht="19.5" customHeight="1" thickBot="1" x14ac:dyDescent="0.25">
      <c r="A7" s="222">
        <v>5.5</v>
      </c>
      <c r="C7" s="223">
        <f t="shared" si="0"/>
        <v>5</v>
      </c>
      <c r="E7" s="222" t="s">
        <v>785</v>
      </c>
      <c r="K7" s="222">
        <v>5.5</v>
      </c>
      <c r="M7" s="223"/>
      <c r="O7" s="222" t="s">
        <v>785</v>
      </c>
    </row>
    <row r="8" spans="1:15" ht="19.5" customHeight="1" thickBot="1" x14ac:dyDescent="0.25">
      <c r="A8" s="222">
        <v>5.6</v>
      </c>
      <c r="C8" s="223">
        <f t="shared" si="0"/>
        <v>5</v>
      </c>
      <c r="E8" s="222" t="s">
        <v>785</v>
      </c>
      <c r="K8" s="222">
        <v>5.6</v>
      </c>
      <c r="M8" s="223"/>
      <c r="O8" s="222" t="s">
        <v>785</v>
      </c>
    </row>
    <row r="9" spans="1:15" ht="19.5" customHeight="1" thickBot="1" x14ac:dyDescent="0.25">
      <c r="A9" s="222">
        <v>5.7</v>
      </c>
      <c r="C9" s="223">
        <f t="shared" si="0"/>
        <v>5</v>
      </c>
      <c r="E9" s="222" t="s">
        <v>785</v>
      </c>
      <c r="K9" s="222">
        <v>5.7</v>
      </c>
      <c r="M9" s="223"/>
      <c r="O9" s="222" t="s">
        <v>785</v>
      </c>
    </row>
    <row r="10" spans="1:15" ht="19.5" customHeight="1" thickBot="1" x14ac:dyDescent="0.25">
      <c r="A10" s="222">
        <v>5.8</v>
      </c>
      <c r="C10" s="223">
        <f t="shared" si="0"/>
        <v>5</v>
      </c>
      <c r="E10" s="222" t="s">
        <v>785</v>
      </c>
      <c r="K10" s="222">
        <v>5.8</v>
      </c>
      <c r="M10" s="223"/>
      <c r="O10" s="222" t="s">
        <v>785</v>
      </c>
    </row>
    <row r="11" spans="1:15" ht="19.5" customHeight="1" thickBot="1" x14ac:dyDescent="0.25">
      <c r="A11" s="222">
        <v>5.9</v>
      </c>
      <c r="C11" s="223">
        <f t="shared" si="0"/>
        <v>5</v>
      </c>
      <c r="E11" s="222" t="s">
        <v>785</v>
      </c>
      <c r="K11" s="222">
        <v>5.9</v>
      </c>
      <c r="M11" s="223"/>
      <c r="O11" s="222" t="s">
        <v>785</v>
      </c>
    </row>
    <row r="12" spans="1:15" ht="19.5" customHeight="1" thickBot="1" x14ac:dyDescent="0.25">
      <c r="A12" s="222">
        <v>6</v>
      </c>
      <c r="C12" s="223">
        <f t="shared" si="0"/>
        <v>6</v>
      </c>
      <c r="E12" s="222" t="s">
        <v>785</v>
      </c>
      <c r="K12" s="222">
        <v>6</v>
      </c>
      <c r="M12" s="223"/>
      <c r="O12" s="222" t="s">
        <v>785</v>
      </c>
    </row>
    <row r="13" spans="1:15" ht="13.5" thickBot="1" x14ac:dyDescent="0.25">
      <c r="C13" s="223"/>
    </row>
    <row r="14" spans="1:15" ht="21" customHeight="1" thickBot="1" x14ac:dyDescent="0.25">
      <c r="A14" s="222">
        <v>65.25</v>
      </c>
      <c r="C14" s="223">
        <f t="shared" si="0"/>
        <v>65</v>
      </c>
      <c r="E14" s="221" t="s">
        <v>786</v>
      </c>
      <c r="K14" s="222">
        <v>65.25</v>
      </c>
      <c r="M14" s="223"/>
      <c r="O14" s="233" t="s">
        <v>794</v>
      </c>
    </row>
  </sheetData>
  <pageMargins left="0.75" right="0.75" top="1" bottom="1" header="0.5" footer="0.5"/>
  <pageSetup paperSize="9" orientation="portrait" horizont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7C1F-5985-48B4-B847-7AA090E4E29C}">
  <dimension ref="A1:G17"/>
  <sheetViews>
    <sheetView workbookViewId="0">
      <selection activeCell="B9" sqref="B9"/>
    </sheetView>
  </sheetViews>
  <sheetFormatPr defaultRowHeight="15" x14ac:dyDescent="0.25"/>
  <cols>
    <col min="1" max="1" width="10" style="148" bestFit="1" customWidth="1"/>
    <col min="2" max="3" width="9.140625" style="148"/>
    <col min="4" max="4" width="15.7109375" style="148" customWidth="1"/>
    <col min="5" max="16384" width="9.140625" style="148"/>
  </cols>
  <sheetData>
    <row r="1" spans="1:7" x14ac:dyDescent="0.25">
      <c r="B1" s="148" t="s">
        <v>758</v>
      </c>
      <c r="C1" s="148" t="s">
        <v>759</v>
      </c>
      <c r="D1" s="148" t="s">
        <v>760</v>
      </c>
      <c r="E1" s="148" t="s">
        <v>761</v>
      </c>
      <c r="F1" s="148" t="s">
        <v>762</v>
      </c>
      <c r="G1" s="148" t="s">
        <v>763</v>
      </c>
    </row>
    <row r="2" spans="1:7" x14ac:dyDescent="0.25">
      <c r="A2" s="148" t="s">
        <v>764</v>
      </c>
      <c r="B2" s="148" t="str">
        <f>UPPER(A2)</f>
        <v>ΚΕΙΜΕΝΟ</v>
      </c>
      <c r="C2" s="148" t="str">
        <f>PROPER(A2)</f>
        <v>Κείμενο</v>
      </c>
      <c r="D2" s="148" t="str">
        <f>CONCATENATE(A2," ",B2)</f>
        <v>κείμενο ΚΕΙΜΕΝΟ</v>
      </c>
      <c r="E2" s="148" t="b">
        <f>EXACT(A2,B2)</f>
        <v>0</v>
      </c>
      <c r="F2" s="148">
        <f>LEN(A2)</f>
        <v>7</v>
      </c>
      <c r="G2" s="148" t="str">
        <f>LEFT(A2,3)</f>
        <v>κεί</v>
      </c>
    </row>
    <row r="5" spans="1:7" x14ac:dyDescent="0.25">
      <c r="B5" s="148" t="s">
        <v>765</v>
      </c>
    </row>
    <row r="6" spans="1:7" x14ac:dyDescent="0.25">
      <c r="A6" s="148">
        <v>5</v>
      </c>
      <c r="B6" s="148" t="str">
        <f>REPT("I",A6)</f>
        <v>IIIII</v>
      </c>
    </row>
    <row r="7" spans="1:7" x14ac:dyDescent="0.25">
      <c r="A7" s="148">
        <v>12</v>
      </c>
      <c r="B7" s="148" t="str">
        <f t="shared" ref="B7:B9" si="0">REPT("I",A7)</f>
        <v>IIIIIIIIIIII</v>
      </c>
    </row>
    <row r="8" spans="1:7" x14ac:dyDescent="0.25">
      <c r="A8" s="148">
        <v>22</v>
      </c>
      <c r="B8" s="148" t="str">
        <f t="shared" si="0"/>
        <v>IIIIIIIIIIIIIIIIIIIIII</v>
      </c>
    </row>
    <row r="9" spans="1:7" x14ac:dyDescent="0.25">
      <c r="A9" s="148">
        <v>35</v>
      </c>
      <c r="B9" s="148" t="str">
        <f t="shared" si="0"/>
        <v>IIIIIIIIIIIIIIIIIIIIIIIIIIIIIIIIIII</v>
      </c>
    </row>
    <row r="17" spans="1:3" ht="15.75" x14ac:dyDescent="0.3">
      <c r="A17" s="264"/>
      <c r="B17" s="264"/>
      <c r="C17" s="264"/>
    </row>
  </sheetData>
  <mergeCells count="1">
    <mergeCell ref="A17:C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DCB1-FE94-4D78-B6FF-DBF79DF3B07B}">
  <dimension ref="A1:C17"/>
  <sheetViews>
    <sheetView workbookViewId="0">
      <selection activeCell="B12" sqref="B12"/>
    </sheetView>
  </sheetViews>
  <sheetFormatPr defaultRowHeight="15" x14ac:dyDescent="0.25"/>
  <cols>
    <col min="1" max="1" width="15.85546875" style="148" bestFit="1" customWidth="1"/>
    <col min="2" max="2" width="10.7109375" style="148" bestFit="1" customWidth="1"/>
    <col min="3" max="3" width="15.85546875" style="148" bestFit="1" customWidth="1"/>
    <col min="4" max="16384" width="9.140625" style="148"/>
  </cols>
  <sheetData>
    <row r="1" spans="1:3" x14ac:dyDescent="0.25">
      <c r="A1" s="148" t="s">
        <v>766</v>
      </c>
      <c r="B1" s="148" t="s">
        <v>767</v>
      </c>
    </row>
    <row r="2" spans="1:3" x14ac:dyDescent="0.25">
      <c r="A2" s="215">
        <f ca="1">NOW()</f>
        <v>45982.691792708334</v>
      </c>
      <c r="B2" s="154">
        <f ca="1">TODAY()</f>
        <v>45982</v>
      </c>
    </row>
    <row r="3" spans="1:3" x14ac:dyDescent="0.25">
      <c r="C3" s="215"/>
    </row>
    <row r="6" spans="1:3" x14ac:dyDescent="0.25">
      <c r="A6" s="216"/>
    </row>
    <row r="17" spans="1:3" ht="15.75" x14ac:dyDescent="0.3">
      <c r="A17" s="264"/>
      <c r="B17" s="264"/>
      <c r="C17" s="264"/>
    </row>
  </sheetData>
  <mergeCells count="1">
    <mergeCell ref="A17:C17"/>
  </mergeCells>
  <pageMargins left="0.7" right="0.7" top="0.75" bottom="0.75" header="0.3" footer="0.3"/>
  <pageSetup paperSize="9" orientation="portrait" horizontalDpi="4294967294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CD0-E085-4684-9BA3-8A1F4DB00EDE}">
  <dimension ref="A1:L27"/>
  <sheetViews>
    <sheetView workbookViewId="0">
      <selection activeCell="E27" sqref="E27"/>
    </sheetView>
  </sheetViews>
  <sheetFormatPr defaultRowHeight="12.75" x14ac:dyDescent="0.2"/>
  <cols>
    <col min="1" max="1" width="3.42578125" style="113" customWidth="1"/>
    <col min="2" max="2" width="4.42578125" style="113" customWidth="1"/>
    <col min="3" max="3" width="11.42578125" style="113" bestFit="1" customWidth="1"/>
    <col min="4" max="4" width="7" style="113" customWidth="1"/>
    <col min="5" max="6" width="9.140625" style="113"/>
    <col min="7" max="7" width="19.140625" style="113" customWidth="1"/>
    <col min="8" max="8" width="14.42578125" style="113" bestFit="1" customWidth="1"/>
    <col min="9" max="9" width="8.140625" style="113" customWidth="1"/>
    <col min="10" max="10" width="24.42578125" style="113" customWidth="1"/>
    <col min="11" max="16384" width="9.140625" style="113"/>
  </cols>
  <sheetData>
    <row r="1" spans="1:12" ht="60" x14ac:dyDescent="0.8">
      <c r="A1" s="224" t="s">
        <v>210</v>
      </c>
      <c r="B1" s="112"/>
    </row>
    <row r="2" spans="1:12" ht="12.75" customHeight="1" x14ac:dyDescent="0.2">
      <c r="A2" s="112"/>
      <c r="B2" s="112"/>
      <c r="G2" s="266" t="s">
        <v>209</v>
      </c>
      <c r="H2" s="266"/>
      <c r="J2" s="114"/>
      <c r="K2" s="114"/>
      <c r="L2" s="114"/>
    </row>
    <row r="3" spans="1:12" x14ac:dyDescent="0.2">
      <c r="G3" s="266"/>
      <c r="H3" s="266"/>
      <c r="J3" s="114"/>
      <c r="K3" s="114"/>
      <c r="L3" s="114"/>
    </row>
    <row r="4" spans="1:12" x14ac:dyDescent="0.2">
      <c r="B4" s="112"/>
      <c r="G4" s="266"/>
      <c r="H4" s="266"/>
    </row>
    <row r="5" spans="1:12" x14ac:dyDescent="0.2">
      <c r="A5" s="112"/>
      <c r="B5" s="112"/>
      <c r="H5" s="225"/>
    </row>
    <row r="6" spans="1:12" x14ac:dyDescent="0.2">
      <c r="A6" s="115"/>
      <c r="B6" s="112"/>
      <c r="C6" s="114" t="s">
        <v>211</v>
      </c>
      <c r="H6" s="225"/>
      <c r="J6" s="114" t="s">
        <v>212</v>
      </c>
    </row>
    <row r="7" spans="1:12" ht="13.5" thickBot="1" x14ac:dyDescent="0.25"/>
    <row r="8" spans="1:12" x14ac:dyDescent="0.2">
      <c r="A8" s="116"/>
      <c r="B8" s="116"/>
      <c r="C8" s="226">
        <v>-12</v>
      </c>
      <c r="E8" s="265" t="s">
        <v>213</v>
      </c>
      <c r="F8" s="265"/>
      <c r="G8" s="265"/>
      <c r="H8" s="113">
        <f>MAX(C8:C16)</f>
        <v>56</v>
      </c>
      <c r="J8" s="113" t="s">
        <v>214</v>
      </c>
    </row>
    <row r="9" spans="1:12" x14ac:dyDescent="0.2">
      <c r="A9" s="116"/>
      <c r="B9" s="116"/>
      <c r="C9" s="227">
        <v>23</v>
      </c>
      <c r="E9" s="265" t="s">
        <v>215</v>
      </c>
      <c r="F9" s="265"/>
      <c r="G9" s="265"/>
      <c r="H9" s="113">
        <f>MIN(C8:C16)</f>
        <v>-15</v>
      </c>
      <c r="J9" s="113" t="s">
        <v>216</v>
      </c>
    </row>
    <row r="10" spans="1:12" x14ac:dyDescent="0.2">
      <c r="A10" s="116"/>
      <c r="B10" s="116"/>
      <c r="C10" s="227">
        <v>2</v>
      </c>
      <c r="E10" s="265" t="s">
        <v>217</v>
      </c>
      <c r="F10" s="265"/>
      <c r="G10" s="265"/>
      <c r="H10" s="113">
        <f>SUM(C11,C13,C19)</f>
        <v>-3</v>
      </c>
      <c r="J10" s="113" t="s">
        <v>218</v>
      </c>
    </row>
    <row r="11" spans="1:12" x14ac:dyDescent="0.2">
      <c r="A11" s="116"/>
      <c r="B11" s="116"/>
      <c r="C11" s="227">
        <v>-15</v>
      </c>
      <c r="E11" s="265" t="s">
        <v>219</v>
      </c>
      <c r="F11" s="265"/>
      <c r="G11" s="265"/>
      <c r="H11" s="113">
        <f>SUM(C11:C19)</f>
        <v>78.457840000000004</v>
      </c>
      <c r="J11" s="113" t="s">
        <v>220</v>
      </c>
    </row>
    <row r="12" spans="1:12" x14ac:dyDescent="0.2">
      <c r="A12" s="116"/>
      <c r="B12" s="116"/>
      <c r="C12" s="227">
        <v>56</v>
      </c>
      <c r="E12" s="265" t="s">
        <v>221</v>
      </c>
      <c r="F12" s="265"/>
      <c r="G12" s="265"/>
      <c r="H12" s="113">
        <f>AVERAGE(C8:C16)</f>
        <v>10.161982222222223</v>
      </c>
      <c r="J12" s="113" t="s">
        <v>216</v>
      </c>
    </row>
    <row r="13" spans="1:12" x14ac:dyDescent="0.2">
      <c r="A13" s="116"/>
      <c r="B13" s="116"/>
      <c r="C13" s="227">
        <v>12</v>
      </c>
      <c r="E13" s="265" t="s">
        <v>222</v>
      </c>
      <c r="F13" s="265"/>
      <c r="G13" s="265"/>
      <c r="H13" s="113">
        <f>COUNT(C11,C13,C15)</f>
        <v>3</v>
      </c>
      <c r="J13" s="113" t="s">
        <v>223</v>
      </c>
    </row>
    <row r="14" spans="1:12" x14ac:dyDescent="0.2">
      <c r="A14" s="116"/>
      <c r="B14" s="116"/>
      <c r="C14" s="227">
        <v>0.34783999999999998</v>
      </c>
      <c r="E14" s="265" t="s">
        <v>224</v>
      </c>
      <c r="F14" s="265"/>
      <c r="G14" s="265"/>
      <c r="H14" s="113" t="str">
        <f>REPT(C17,1)</f>
        <v>Τεστ</v>
      </c>
      <c r="J14" s="113" t="s">
        <v>225</v>
      </c>
    </row>
    <row r="15" spans="1:12" x14ac:dyDescent="0.2">
      <c r="A15" s="116"/>
      <c r="B15" s="116"/>
      <c r="C15" s="227">
        <v>-7.89</v>
      </c>
      <c r="E15" s="265" t="s">
        <v>226</v>
      </c>
      <c r="F15" s="265"/>
      <c r="G15" s="265"/>
      <c r="J15" s="113" t="s">
        <v>227</v>
      </c>
    </row>
    <row r="16" spans="1:12" x14ac:dyDescent="0.2">
      <c r="A16" s="116"/>
      <c r="B16" s="116"/>
      <c r="C16" s="227">
        <v>33</v>
      </c>
      <c r="E16" s="265" t="s">
        <v>228</v>
      </c>
      <c r="F16" s="265"/>
      <c r="G16" s="265"/>
      <c r="H16" s="117"/>
      <c r="J16" s="113" t="s">
        <v>229</v>
      </c>
    </row>
    <row r="17" spans="1:10" x14ac:dyDescent="0.2">
      <c r="A17" s="116"/>
      <c r="B17" s="116"/>
      <c r="C17" s="228" t="s">
        <v>230</v>
      </c>
      <c r="E17" s="265" t="s">
        <v>231</v>
      </c>
      <c r="F17" s="265"/>
      <c r="G17" s="265"/>
      <c r="H17" s="117"/>
      <c r="J17" s="113" t="s">
        <v>227</v>
      </c>
    </row>
    <row r="18" spans="1:10" x14ac:dyDescent="0.2">
      <c r="A18" s="116"/>
      <c r="B18" s="116"/>
      <c r="C18" s="228" t="s">
        <v>232</v>
      </c>
      <c r="E18" s="265" t="s">
        <v>233</v>
      </c>
      <c r="F18" s="265"/>
      <c r="G18" s="265"/>
      <c r="H18" s="118"/>
    </row>
    <row r="19" spans="1:10" ht="13.5" thickBot="1" x14ac:dyDescent="0.25">
      <c r="A19" s="116"/>
      <c r="B19" s="116"/>
      <c r="C19" s="229" t="s">
        <v>234</v>
      </c>
      <c r="E19" s="265" t="s">
        <v>235</v>
      </c>
      <c r="F19" s="265"/>
      <c r="G19" s="265"/>
      <c r="H19" s="119"/>
    </row>
    <row r="20" spans="1:10" x14ac:dyDescent="0.2">
      <c r="E20" s="265" t="s">
        <v>236</v>
      </c>
      <c r="F20" s="265"/>
      <c r="G20" s="265"/>
      <c r="J20" s="113" t="s">
        <v>237</v>
      </c>
    </row>
    <row r="21" spans="1:10" x14ac:dyDescent="0.2">
      <c r="E21" s="265" t="s">
        <v>238</v>
      </c>
      <c r="F21" s="265"/>
      <c r="G21" s="265"/>
      <c r="J21" s="113" t="s">
        <v>787</v>
      </c>
    </row>
    <row r="22" spans="1:10" x14ac:dyDescent="0.2">
      <c r="E22" s="265"/>
      <c r="F22" s="265"/>
      <c r="G22" s="265"/>
    </row>
    <row r="27" spans="1:10" x14ac:dyDescent="0.2">
      <c r="H27" s="112"/>
    </row>
  </sheetData>
  <mergeCells count="16">
    <mergeCell ref="E19:G19"/>
    <mergeCell ref="E20:G20"/>
    <mergeCell ref="E22:G22"/>
    <mergeCell ref="E21:G21"/>
    <mergeCell ref="G2:H4"/>
    <mergeCell ref="E13:G13"/>
    <mergeCell ref="E14:G14"/>
    <mergeCell ref="E15:G15"/>
    <mergeCell ref="E16:G16"/>
    <mergeCell ref="E17:G17"/>
    <mergeCell ref="E18:G18"/>
    <mergeCell ref="E8:G8"/>
    <mergeCell ref="E9:G9"/>
    <mergeCell ref="E10:G10"/>
    <mergeCell ref="E11:G11"/>
    <mergeCell ref="E12:G12"/>
  </mergeCells>
  <pageMargins left="0.55000000000000004" right="0.18" top="0.72" bottom="1" header="0.5" footer="0.5"/>
  <pageSetup paperSize="9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35C6-56AC-4CC9-846D-B4125DC95315}">
  <dimension ref="A1:D19"/>
  <sheetViews>
    <sheetView workbookViewId="0">
      <selection activeCell="B17" sqref="B17"/>
    </sheetView>
  </sheetViews>
  <sheetFormatPr defaultRowHeight="15" x14ac:dyDescent="0.25"/>
  <cols>
    <col min="1" max="3" width="31.140625" style="148" customWidth="1"/>
    <col min="4" max="4" width="9.28515625" style="148" bestFit="1" customWidth="1"/>
    <col min="5" max="16384" width="9.140625" style="148"/>
  </cols>
  <sheetData>
    <row r="1" spans="1:4" x14ac:dyDescent="0.25">
      <c r="A1" s="217" t="s">
        <v>768</v>
      </c>
      <c r="B1" s="217"/>
      <c r="C1" s="217"/>
    </row>
    <row r="2" spans="1:4" x14ac:dyDescent="0.25">
      <c r="A2" s="217"/>
      <c r="B2" s="217"/>
      <c r="C2" s="217"/>
    </row>
    <row r="3" spans="1:4" x14ac:dyDescent="0.25">
      <c r="A3" s="218" t="s">
        <v>769</v>
      </c>
      <c r="B3" s="218" t="s">
        <v>770</v>
      </c>
      <c r="C3" s="218" t="s">
        <v>771</v>
      </c>
      <c r="D3" s="219"/>
    </row>
    <row r="4" spans="1:4" x14ac:dyDescent="0.25">
      <c r="A4" s="220" t="s">
        <v>772</v>
      </c>
      <c r="B4" s="217">
        <f>20</f>
        <v>20</v>
      </c>
      <c r="C4" s="217">
        <f>9/5*B4+32</f>
        <v>68</v>
      </c>
    </row>
    <row r="5" spans="1:4" x14ac:dyDescent="0.25">
      <c r="A5" s="220" t="s">
        <v>773</v>
      </c>
      <c r="B5" s="217">
        <v>17</v>
      </c>
      <c r="C5" s="217">
        <f t="shared" ref="C5:C10" si="0">9/5*B5+32</f>
        <v>62.6</v>
      </c>
    </row>
    <row r="6" spans="1:4" x14ac:dyDescent="0.25">
      <c r="A6" s="220" t="s">
        <v>774</v>
      </c>
      <c r="B6" s="217">
        <v>19</v>
      </c>
      <c r="C6" s="217">
        <f t="shared" si="0"/>
        <v>66.2</v>
      </c>
    </row>
    <row r="7" spans="1:4" x14ac:dyDescent="0.25">
      <c r="A7" s="220" t="s">
        <v>775</v>
      </c>
      <c r="B7" s="217">
        <v>22</v>
      </c>
      <c r="C7" s="217">
        <f t="shared" si="0"/>
        <v>71.599999999999994</v>
      </c>
    </row>
    <row r="8" spans="1:4" x14ac:dyDescent="0.25">
      <c r="A8" s="220" t="s">
        <v>776</v>
      </c>
      <c r="B8" s="217">
        <v>15</v>
      </c>
      <c r="C8" s="217">
        <f t="shared" si="0"/>
        <v>59</v>
      </c>
    </row>
    <row r="9" spans="1:4" x14ac:dyDescent="0.25">
      <c r="A9" s="220" t="s">
        <v>777</v>
      </c>
      <c r="B9" s="217">
        <v>25</v>
      </c>
      <c r="C9" s="217">
        <f t="shared" si="0"/>
        <v>77</v>
      </c>
    </row>
    <row r="10" spans="1:4" x14ac:dyDescent="0.25">
      <c r="B10" s="217">
        <f>SUM(B4:B9)</f>
        <v>118</v>
      </c>
      <c r="C10" s="217">
        <f t="shared" si="0"/>
        <v>244.4</v>
      </c>
    </row>
    <row r="11" spans="1:4" x14ac:dyDescent="0.25">
      <c r="A11" s="217"/>
      <c r="B11" s="217"/>
      <c r="C11" s="217"/>
    </row>
    <row r="12" spans="1:4" x14ac:dyDescent="0.25">
      <c r="A12" s="217" t="s">
        <v>778</v>
      </c>
      <c r="B12" s="217">
        <f>AVERAGE(B4:B11)</f>
        <v>33.714285714285715</v>
      </c>
      <c r="C12" s="217" t="str">
        <f>REPT("I",B12)</f>
        <v>IIIIIIIIIIIIIIIIIIIIIIIIIIIIIIIII</v>
      </c>
    </row>
    <row r="13" spans="1:4" x14ac:dyDescent="0.25">
      <c r="A13" s="148" t="s">
        <v>779</v>
      </c>
      <c r="B13" s="148">
        <f>MAX(B4:B10)</f>
        <v>118</v>
      </c>
      <c r="C13" s="217" t="str">
        <f t="shared" ref="C13:C14" si="1">REPT("I",B13)</f>
        <v>IIIIIIIIIIIIIIIIIIIIIIIIIIIIIIIIIIIIIIIIIIIIIIIIIIIIIIIIIIIIIIIIIIIIIIIIIIIIIIIIIIIIIIIIIIIIIIIIIIIIIIIIIIIIIIIIIIIIII</v>
      </c>
    </row>
    <row r="14" spans="1:4" x14ac:dyDescent="0.25">
      <c r="A14" s="148" t="s">
        <v>780</v>
      </c>
      <c r="B14" s="148">
        <f>MIN(B4:B10)</f>
        <v>15</v>
      </c>
      <c r="C14" s="217" t="str">
        <f t="shared" si="1"/>
        <v>IIIIIIIIIIIIIII</v>
      </c>
    </row>
    <row r="19" spans="1:3" ht="15.75" x14ac:dyDescent="0.3">
      <c r="A19" s="264"/>
      <c r="B19" s="264"/>
      <c r="C19" s="264"/>
    </row>
  </sheetData>
  <mergeCells count="1">
    <mergeCell ref="A19:C19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3073" r:id="rId3">
          <objectPr defaultSize="0" autoPict="0" r:id="rId4">
            <anchor moveWithCells="1" sizeWithCells="1">
              <from>
                <xdr:col>9</xdr:col>
                <xdr:colOff>457200</xdr:colOff>
                <xdr:row>0</xdr:row>
                <xdr:rowOff>28575</xdr:rowOff>
              </from>
              <to>
                <xdr:col>10</xdr:col>
                <xdr:colOff>457200</xdr:colOff>
                <xdr:row>2</xdr:row>
                <xdr:rowOff>9525</xdr:rowOff>
              </to>
            </anchor>
          </objectPr>
        </oleObject>
      </mc:Choice>
      <mc:Fallback>
        <oleObject progId="Equation.DSMT4" shapeId="3073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D29B-8720-4DB6-9477-1990B36F93A2}">
  <dimension ref="A1:G16"/>
  <sheetViews>
    <sheetView workbookViewId="0">
      <selection activeCell="E12" sqref="E12"/>
    </sheetView>
  </sheetViews>
  <sheetFormatPr defaultRowHeight="15" x14ac:dyDescent="0.25"/>
  <cols>
    <col min="1" max="1" width="9.140625" style="148"/>
    <col min="2" max="3" width="10.7109375" style="148" bestFit="1" customWidth="1"/>
    <col min="4" max="4" width="15.42578125" style="148" bestFit="1" customWidth="1"/>
    <col min="5" max="5" width="52.5703125" style="148" bestFit="1" customWidth="1"/>
    <col min="6" max="16384" width="9.140625" style="148"/>
  </cols>
  <sheetData>
    <row r="1" spans="1:7" ht="21.75" x14ac:dyDescent="0.45">
      <c r="A1" s="149" t="s">
        <v>462</v>
      </c>
      <c r="G1" s="148" t="s">
        <v>463</v>
      </c>
    </row>
    <row r="3" spans="1:7" ht="19.5" x14ac:dyDescent="0.4">
      <c r="A3" s="150"/>
    </row>
    <row r="5" spans="1:7" x14ac:dyDescent="0.25">
      <c r="B5" s="151" t="s">
        <v>72</v>
      </c>
      <c r="C5" s="151" t="s">
        <v>464</v>
      </c>
      <c r="D5" s="151" t="s">
        <v>461</v>
      </c>
    </row>
    <row r="6" spans="1:7" x14ac:dyDescent="0.25">
      <c r="A6" s="152"/>
      <c r="B6" s="152">
        <v>5</v>
      </c>
      <c r="C6" s="148">
        <v>3</v>
      </c>
      <c r="D6" s="148" t="str">
        <f>IF(B6=C6,"EINAI ISO","DEN EINAI ISO")</f>
        <v>DEN EINAI ISO</v>
      </c>
      <c r="E6" s="153" t="s">
        <v>465</v>
      </c>
      <c r="F6" s="148" t="s">
        <v>466</v>
      </c>
    </row>
    <row r="7" spans="1:7" x14ac:dyDescent="0.25">
      <c r="A7" s="152"/>
      <c r="B7" s="152">
        <v>10</v>
      </c>
      <c r="C7" s="148">
        <v>7</v>
      </c>
      <c r="D7" s="148" t="b">
        <f>IF(B7&gt;C7,10&gt;7,"EINAI LATHOS")</f>
        <v>1</v>
      </c>
      <c r="E7" s="153" t="s">
        <v>467</v>
      </c>
      <c r="F7" s="148" t="s">
        <v>468</v>
      </c>
    </row>
    <row r="8" spans="1:7" x14ac:dyDescent="0.25">
      <c r="A8" s="152"/>
      <c r="B8" s="152" t="s">
        <v>469</v>
      </c>
      <c r="C8" s="148" t="s">
        <v>470</v>
      </c>
      <c r="D8" s="262" t="str">
        <f>IF(B8&lt;C8,"Α&lt;Β","Β&lt;Α")</f>
        <v>Α&lt;Β</v>
      </c>
      <c r="E8" s="153" t="s">
        <v>471</v>
      </c>
      <c r="F8" s="148" t="s">
        <v>472</v>
      </c>
    </row>
    <row r="9" spans="1:7" x14ac:dyDescent="0.25">
      <c r="A9" s="152"/>
      <c r="B9" s="154">
        <v>40179</v>
      </c>
      <c r="C9" s="154">
        <v>40544</v>
      </c>
      <c r="D9" s="148" t="str">
        <f>IF(B9&lt;&gt;C9,"OK","O")</f>
        <v>OK</v>
      </c>
      <c r="E9" s="153" t="s">
        <v>801</v>
      </c>
      <c r="F9" s="148" t="s">
        <v>473</v>
      </c>
    </row>
    <row r="10" spans="1:7" x14ac:dyDescent="0.25">
      <c r="A10" s="152"/>
      <c r="B10" s="152"/>
      <c r="C10" s="155"/>
    </row>
    <row r="11" spans="1:7" x14ac:dyDescent="0.25">
      <c r="A11" s="152"/>
      <c r="B11" s="152"/>
    </row>
    <row r="12" spans="1:7" x14ac:dyDescent="0.25">
      <c r="A12" s="156"/>
    </row>
    <row r="13" spans="1:7" x14ac:dyDescent="0.25">
      <c r="A13" s="156"/>
    </row>
    <row r="14" spans="1:7" x14ac:dyDescent="0.25">
      <c r="A14" s="157"/>
      <c r="B14" s="157"/>
    </row>
    <row r="16" spans="1:7" ht="15.75" x14ac:dyDescent="0.3">
      <c r="A16" s="264"/>
      <c r="B16" s="264"/>
      <c r="C16" s="264"/>
    </row>
  </sheetData>
  <mergeCells count="1">
    <mergeCell ref="A16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B0A5-B9B9-40C1-B803-71CD494E6226}">
  <sheetPr>
    <pageSetUpPr fitToPage="1"/>
  </sheetPr>
  <dimension ref="A1:E15"/>
  <sheetViews>
    <sheetView zoomScale="68" zoomScaleNormal="68" workbookViewId="0">
      <selection activeCell="H18" sqref="H18"/>
    </sheetView>
  </sheetViews>
  <sheetFormatPr defaultRowHeight="12.75" x14ac:dyDescent="0.2"/>
  <cols>
    <col min="1" max="2" width="25.42578125" style="113" bestFit="1" customWidth="1"/>
    <col min="3" max="3" width="34.85546875" style="113" bestFit="1" customWidth="1"/>
    <col min="4" max="4" width="37.7109375" style="113" bestFit="1" customWidth="1"/>
    <col min="5" max="5" width="34.28515625" style="113" bestFit="1" customWidth="1"/>
    <col min="6" max="16384" width="9.140625" style="113"/>
  </cols>
  <sheetData>
    <row r="1" spans="1:5" ht="33.75" customHeight="1" thickBot="1" x14ac:dyDescent="0.45">
      <c r="A1" s="267" t="s">
        <v>804</v>
      </c>
      <c r="B1" s="267"/>
      <c r="C1" s="267"/>
      <c r="D1" s="267"/>
      <c r="E1" s="267"/>
    </row>
    <row r="2" spans="1:5" ht="23.25" thickBot="1" x14ac:dyDescent="0.5">
      <c r="A2" s="241" t="s">
        <v>100</v>
      </c>
      <c r="B2" s="242" t="s">
        <v>101</v>
      </c>
      <c r="C2" s="242" t="s">
        <v>805</v>
      </c>
      <c r="D2" s="242" t="s">
        <v>806</v>
      </c>
      <c r="E2" s="243" t="s">
        <v>807</v>
      </c>
    </row>
    <row r="3" spans="1:5" ht="21" x14ac:dyDescent="0.4">
      <c r="A3" s="244">
        <v>1</v>
      </c>
      <c r="B3" s="245">
        <v>0</v>
      </c>
      <c r="C3" s="254" t="b">
        <f>NOT(A3)</f>
        <v>0</v>
      </c>
      <c r="D3" s="254" t="b">
        <f>AND(A3,B3)</f>
        <v>0</v>
      </c>
      <c r="E3" s="255" t="b">
        <f>OR(A3,B3)</f>
        <v>1</v>
      </c>
    </row>
    <row r="4" spans="1:5" ht="21" x14ac:dyDescent="0.4">
      <c r="A4" s="246">
        <v>0</v>
      </c>
      <c r="B4" s="247">
        <v>1</v>
      </c>
      <c r="C4" s="254" t="b">
        <f t="shared" ref="C4:C6" si="0">NOT(A4)</f>
        <v>1</v>
      </c>
      <c r="D4" s="254" t="b">
        <f t="shared" ref="D4:D6" si="1">AND(A4,B4)</f>
        <v>0</v>
      </c>
      <c r="E4" s="255" t="b">
        <f t="shared" ref="E4:E6" si="2">OR(A4,B4)</f>
        <v>1</v>
      </c>
    </row>
    <row r="5" spans="1:5" ht="21" x14ac:dyDescent="0.4">
      <c r="A5" s="246">
        <v>1</v>
      </c>
      <c r="B5" s="247">
        <v>1</v>
      </c>
      <c r="C5" s="254" t="b">
        <f t="shared" si="0"/>
        <v>0</v>
      </c>
      <c r="D5" s="254" t="b">
        <f t="shared" si="1"/>
        <v>1</v>
      </c>
      <c r="E5" s="255" t="b">
        <f t="shared" si="2"/>
        <v>1</v>
      </c>
    </row>
    <row r="6" spans="1:5" ht="21.75" thickBot="1" x14ac:dyDescent="0.45">
      <c r="A6" s="248">
        <v>0</v>
      </c>
      <c r="B6" s="249">
        <v>0</v>
      </c>
      <c r="C6" s="254" t="b">
        <f t="shared" si="0"/>
        <v>1</v>
      </c>
      <c r="D6" s="254" t="b">
        <f t="shared" si="1"/>
        <v>0</v>
      </c>
      <c r="E6" s="255" t="b">
        <f t="shared" si="2"/>
        <v>0</v>
      </c>
    </row>
    <row r="10" spans="1:5" ht="30.75" thickBot="1" x14ac:dyDescent="0.45">
      <c r="A10" s="267" t="s">
        <v>808</v>
      </c>
      <c r="B10" s="267"/>
      <c r="C10" s="267"/>
      <c r="D10" s="267"/>
      <c r="E10" s="267"/>
    </row>
    <row r="11" spans="1:5" s="253" customFormat="1" ht="18.75" thickBot="1" x14ac:dyDescent="0.4">
      <c r="A11" s="250" t="s">
        <v>809</v>
      </c>
      <c r="B11" s="251" t="s">
        <v>810</v>
      </c>
      <c r="C11" s="251" t="s">
        <v>811</v>
      </c>
      <c r="D11" s="251" t="s">
        <v>812</v>
      </c>
      <c r="E11" s="252" t="s">
        <v>813</v>
      </c>
    </row>
    <row r="12" spans="1:5" ht="21" x14ac:dyDescent="0.4">
      <c r="A12" s="244" t="b">
        <v>1</v>
      </c>
      <c r="B12" s="245" t="b">
        <v>0</v>
      </c>
      <c r="C12" s="254" t="str">
        <f>IF(NOT(A12),"NAI","OXI")</f>
        <v>OXI</v>
      </c>
      <c r="D12" s="254" t="str">
        <f>IF(AND(A12,B12),"NAI","OXI")</f>
        <v>OXI</v>
      </c>
      <c r="E12" s="255" t="str">
        <f>IF(OR(A12,B12),"NAI","OXI")</f>
        <v>NAI</v>
      </c>
    </row>
    <row r="13" spans="1:5" ht="21" x14ac:dyDescent="0.4">
      <c r="A13" s="246" t="b">
        <v>0</v>
      </c>
      <c r="B13" s="247" t="b">
        <v>1</v>
      </c>
      <c r="C13" s="254" t="str">
        <f t="shared" ref="C13:C15" si="3">IF(NOT(A13),"NAI","OXI")</f>
        <v>NAI</v>
      </c>
      <c r="D13" s="254" t="str">
        <f t="shared" ref="D13:D15" si="4">IF(AND(A13,B13),"NAI","OXI")</f>
        <v>OXI</v>
      </c>
      <c r="E13" s="255" t="str">
        <f t="shared" ref="E13:E15" si="5">IF(OR(A13,B13),"NAI","OXI")</f>
        <v>NAI</v>
      </c>
    </row>
    <row r="14" spans="1:5" ht="21" x14ac:dyDescent="0.4">
      <c r="A14" s="246" t="b">
        <v>1</v>
      </c>
      <c r="B14" s="247" t="b">
        <v>1</v>
      </c>
      <c r="C14" s="254" t="str">
        <f t="shared" si="3"/>
        <v>OXI</v>
      </c>
      <c r="D14" s="254" t="str">
        <f t="shared" si="4"/>
        <v>NAI</v>
      </c>
      <c r="E14" s="255" t="str">
        <f t="shared" si="5"/>
        <v>NAI</v>
      </c>
    </row>
    <row r="15" spans="1:5" ht="21.75" thickBot="1" x14ac:dyDescent="0.45">
      <c r="A15" s="248" t="b">
        <v>0</v>
      </c>
      <c r="B15" s="249" t="b">
        <v>0</v>
      </c>
      <c r="C15" s="254" t="str">
        <f t="shared" si="3"/>
        <v>NAI</v>
      </c>
      <c r="D15" s="254" t="str">
        <f t="shared" si="4"/>
        <v>OXI</v>
      </c>
      <c r="E15" s="255" t="str">
        <f t="shared" si="5"/>
        <v>OXI</v>
      </c>
    </row>
  </sheetData>
  <mergeCells count="2">
    <mergeCell ref="A1:E1"/>
    <mergeCell ref="A10:E10"/>
  </mergeCells>
  <pageMargins left="0.75" right="0.75" top="1" bottom="1" header="0.5" footer="0.5"/>
  <pageSetup paperSize="9" scale="84" orientation="landscape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5A92-B39A-4CB2-AE76-BDD330FC46E8}">
  <dimension ref="A1:I59"/>
  <sheetViews>
    <sheetView topLeftCell="A18" workbookViewId="0">
      <selection activeCell="F48" sqref="F48"/>
    </sheetView>
  </sheetViews>
  <sheetFormatPr defaultRowHeight="12.75" x14ac:dyDescent="0.2"/>
  <cols>
    <col min="1" max="1" width="15.28515625" style="80" customWidth="1"/>
    <col min="2" max="2" width="9.140625" style="80"/>
    <col min="3" max="3" width="10.140625" style="80" customWidth="1"/>
    <col min="4" max="4" width="7.85546875" style="80" customWidth="1"/>
    <col min="5" max="5" width="13.5703125" style="80" customWidth="1"/>
    <col min="6" max="6" width="7.28515625" style="80" customWidth="1"/>
    <col min="7" max="7" width="22.5703125" style="80" bestFit="1" customWidth="1"/>
    <col min="8" max="8" width="12.7109375" style="80" customWidth="1"/>
    <col min="9" max="9" width="6.28515625" style="80" customWidth="1"/>
    <col min="10" max="10" width="5.7109375" style="80" customWidth="1"/>
    <col min="11" max="16384" width="9.140625" style="80"/>
  </cols>
  <sheetData>
    <row r="1" spans="1:9" ht="15.75" x14ac:dyDescent="0.25">
      <c r="A1" s="79"/>
    </row>
    <row r="2" spans="1:9" ht="15.75" x14ac:dyDescent="0.25">
      <c r="A2" s="79" t="s">
        <v>125</v>
      </c>
    </row>
    <row r="3" spans="1:9" x14ac:dyDescent="0.2">
      <c r="A3" s="81"/>
      <c r="B3" s="81" t="s">
        <v>126</v>
      </c>
    </row>
    <row r="4" spans="1:9" x14ac:dyDescent="0.2">
      <c r="B4" s="82" t="s">
        <v>127</v>
      </c>
      <c r="C4" s="83"/>
      <c r="D4" s="83"/>
      <c r="E4" s="84"/>
    </row>
    <row r="5" spans="1:9" x14ac:dyDescent="0.2">
      <c r="B5" s="80" t="s">
        <v>128</v>
      </c>
    </row>
    <row r="6" spans="1:9" x14ac:dyDescent="0.2">
      <c r="B6" s="85"/>
      <c r="C6" s="86"/>
      <c r="D6" s="86"/>
      <c r="E6" s="86"/>
      <c r="F6" s="86"/>
      <c r="G6" s="87"/>
    </row>
    <row r="7" spans="1:9" x14ac:dyDescent="0.2">
      <c r="B7" s="88"/>
      <c r="G7" s="89"/>
    </row>
    <row r="8" spans="1:9" x14ac:dyDescent="0.2">
      <c r="A8" s="81"/>
      <c r="B8" s="88"/>
      <c r="G8" s="89"/>
    </row>
    <row r="9" spans="1:9" x14ac:dyDescent="0.2">
      <c r="B9" s="88"/>
      <c r="G9" s="89"/>
    </row>
    <row r="10" spans="1:9" x14ac:dyDescent="0.2">
      <c r="B10" s="88"/>
      <c r="G10" s="89"/>
    </row>
    <row r="11" spans="1:9" x14ac:dyDescent="0.2">
      <c r="B11" s="90"/>
      <c r="C11" s="91"/>
      <c r="D11" s="91"/>
      <c r="E11" s="91"/>
      <c r="F11" s="91"/>
      <c r="G11" s="92"/>
    </row>
    <row r="12" spans="1:9" x14ac:dyDescent="0.2">
      <c r="A12" s="81"/>
      <c r="B12" s="81" t="s">
        <v>129</v>
      </c>
    </row>
    <row r="13" spans="1:9" x14ac:dyDescent="0.2">
      <c r="B13" s="82" t="s">
        <v>130</v>
      </c>
      <c r="C13" s="83"/>
      <c r="D13" s="83"/>
      <c r="E13" s="83"/>
      <c r="F13" s="83"/>
      <c r="G13" s="83"/>
      <c r="H13" s="84"/>
    </row>
    <row r="14" spans="1:9" x14ac:dyDescent="0.2">
      <c r="B14" s="80" t="s">
        <v>128</v>
      </c>
    </row>
    <row r="15" spans="1:9" x14ac:dyDescent="0.2">
      <c r="A15" s="81"/>
      <c r="B15" s="85"/>
      <c r="C15" s="86"/>
      <c r="D15" s="86"/>
      <c r="E15" s="86"/>
      <c r="F15" s="86"/>
      <c r="G15" s="86"/>
      <c r="H15" s="86"/>
      <c r="I15" s="87"/>
    </row>
    <row r="16" spans="1:9" x14ac:dyDescent="0.2">
      <c r="B16" s="88"/>
      <c r="I16" s="89"/>
    </row>
    <row r="17" spans="1:9" x14ac:dyDescent="0.2">
      <c r="B17" s="88"/>
      <c r="I17" s="89"/>
    </row>
    <row r="18" spans="1:9" x14ac:dyDescent="0.2">
      <c r="B18" s="88"/>
      <c r="I18" s="89"/>
    </row>
    <row r="19" spans="1:9" ht="15.75" x14ac:dyDescent="0.25">
      <c r="A19" s="79"/>
      <c r="B19" s="88"/>
      <c r="I19" s="89"/>
    </row>
    <row r="20" spans="1:9" x14ac:dyDescent="0.2">
      <c r="A20" s="81"/>
      <c r="B20" s="88"/>
      <c r="I20" s="89"/>
    </row>
    <row r="21" spans="1:9" x14ac:dyDescent="0.2">
      <c r="B21" s="88"/>
      <c r="I21" s="89"/>
    </row>
    <row r="22" spans="1:9" x14ac:dyDescent="0.2">
      <c r="B22" s="88"/>
      <c r="I22" s="89"/>
    </row>
    <row r="23" spans="1:9" x14ac:dyDescent="0.2">
      <c r="B23" s="90"/>
      <c r="C23" s="91"/>
      <c r="D23" s="91"/>
      <c r="E23" s="91"/>
      <c r="F23" s="91"/>
      <c r="G23" s="91"/>
      <c r="H23" s="91"/>
      <c r="I23" s="92"/>
    </row>
    <row r="25" spans="1:9" x14ac:dyDescent="0.2">
      <c r="A25" s="81" t="s">
        <v>131</v>
      </c>
    </row>
    <row r="26" spans="1:9" ht="16.5" thickBot="1" x14ac:dyDescent="0.3">
      <c r="B26" s="268" t="s">
        <v>132</v>
      </c>
      <c r="C26" s="268"/>
      <c r="D26" s="268"/>
      <c r="E26" s="268"/>
      <c r="F26" s="268"/>
      <c r="G26" s="268"/>
    </row>
    <row r="28" spans="1:9" ht="13.5" thickBot="1" x14ac:dyDescent="0.25">
      <c r="A28" s="93" t="s">
        <v>133</v>
      </c>
      <c r="B28" s="93" t="s">
        <v>134</v>
      </c>
      <c r="C28" s="93" t="s">
        <v>135</v>
      </c>
      <c r="D28" s="93" t="s">
        <v>136</v>
      </c>
      <c r="E28" s="93" t="s">
        <v>137</v>
      </c>
      <c r="F28" s="93" t="s">
        <v>138</v>
      </c>
      <c r="G28" s="93" t="s">
        <v>139</v>
      </c>
      <c r="H28" s="93" t="s">
        <v>140</v>
      </c>
    </row>
    <row r="29" spans="1:9" ht="13.5" thickTop="1" x14ac:dyDescent="0.2">
      <c r="A29" s="94" t="s">
        <v>141</v>
      </c>
      <c r="B29" s="95" t="s">
        <v>142</v>
      </c>
      <c r="C29" s="95">
        <v>157</v>
      </c>
      <c r="D29" s="95">
        <v>376</v>
      </c>
      <c r="E29" s="95">
        <f t="shared" ref="E29:E34" si="0">C29*$B$36+D29*$B$37</f>
        <v>8561</v>
      </c>
      <c r="F29" s="96">
        <f t="shared" ref="F29:F34" si="1">18%*E29</f>
        <v>1540.98</v>
      </c>
      <c r="G29" s="235" t="str">
        <f>IF(C29&lt;250,"NAI","OXI")</f>
        <v>NAI</v>
      </c>
      <c r="H29" s="263">
        <f>E29+F29-IF(G29="NAI",)</f>
        <v>10101.98</v>
      </c>
    </row>
    <row r="30" spans="1:9" x14ac:dyDescent="0.2">
      <c r="A30" s="97" t="s">
        <v>143</v>
      </c>
      <c r="B30" s="97" t="s">
        <v>144</v>
      </c>
      <c r="C30" s="97">
        <v>276</v>
      </c>
      <c r="D30" s="97">
        <v>543</v>
      </c>
      <c r="E30" s="97">
        <f t="shared" si="0"/>
        <v>13398</v>
      </c>
      <c r="F30" s="98">
        <f t="shared" si="1"/>
        <v>2411.64</v>
      </c>
      <c r="G30" s="235" t="str">
        <f t="shared" ref="G30:G34" si="2">IF(C30&lt;250,"NAI","OXI")</f>
        <v>OXI</v>
      </c>
      <c r="H30" s="263">
        <f t="shared" ref="H30:H34" si="3">E30+F30-IF(G30="NAI",)</f>
        <v>15809.64</v>
      </c>
    </row>
    <row r="31" spans="1:9" x14ac:dyDescent="0.2">
      <c r="A31" s="97" t="s">
        <v>145</v>
      </c>
      <c r="B31" s="97" t="s">
        <v>146</v>
      </c>
      <c r="C31" s="97">
        <v>172</v>
      </c>
      <c r="D31" s="97">
        <v>120</v>
      </c>
      <c r="E31" s="97">
        <f t="shared" si="0"/>
        <v>5292</v>
      </c>
      <c r="F31" s="98">
        <f t="shared" si="1"/>
        <v>952.56</v>
      </c>
      <c r="G31" s="235" t="str">
        <f t="shared" si="2"/>
        <v>NAI</v>
      </c>
      <c r="H31" s="263">
        <f t="shared" si="3"/>
        <v>6244.5599999999995</v>
      </c>
    </row>
    <row r="32" spans="1:9" x14ac:dyDescent="0.2">
      <c r="A32" s="97" t="s">
        <v>147</v>
      </c>
      <c r="B32" s="97" t="s">
        <v>148</v>
      </c>
      <c r="C32" s="97">
        <v>378</v>
      </c>
      <c r="D32" s="97">
        <v>184</v>
      </c>
      <c r="E32" s="97">
        <f t="shared" si="0"/>
        <v>10514</v>
      </c>
      <c r="F32" s="98">
        <f t="shared" si="1"/>
        <v>1892.52</v>
      </c>
      <c r="G32" s="235" t="str">
        <f t="shared" si="2"/>
        <v>OXI</v>
      </c>
      <c r="H32" s="263">
        <f t="shared" si="3"/>
        <v>12406.52</v>
      </c>
    </row>
    <row r="33" spans="1:8" x14ac:dyDescent="0.2">
      <c r="A33" s="97" t="s">
        <v>149</v>
      </c>
      <c r="B33" s="97" t="s">
        <v>150</v>
      </c>
      <c r="C33" s="97">
        <v>480</v>
      </c>
      <c r="D33" s="97">
        <v>190</v>
      </c>
      <c r="E33" s="97">
        <f t="shared" si="0"/>
        <v>12740</v>
      </c>
      <c r="F33" s="98">
        <f t="shared" si="1"/>
        <v>2293.1999999999998</v>
      </c>
      <c r="G33" s="235" t="str">
        <f t="shared" si="2"/>
        <v>OXI</v>
      </c>
      <c r="H33" s="263">
        <f t="shared" si="3"/>
        <v>15033.2</v>
      </c>
    </row>
    <row r="34" spans="1:8" x14ac:dyDescent="0.2">
      <c r="A34" s="97" t="s">
        <v>151</v>
      </c>
      <c r="B34" s="97" t="s">
        <v>152</v>
      </c>
      <c r="C34" s="97">
        <v>219</v>
      </c>
      <c r="D34" s="97">
        <v>190</v>
      </c>
      <c r="E34" s="97">
        <f t="shared" si="0"/>
        <v>7259</v>
      </c>
      <c r="F34" s="98">
        <f t="shared" si="1"/>
        <v>1306.6199999999999</v>
      </c>
      <c r="G34" s="235" t="str">
        <f t="shared" si="2"/>
        <v>NAI</v>
      </c>
      <c r="H34" s="263">
        <f t="shared" si="3"/>
        <v>8565.619999999999</v>
      </c>
    </row>
    <row r="36" spans="1:8" x14ac:dyDescent="0.2">
      <c r="A36" s="100" t="s">
        <v>153</v>
      </c>
      <c r="B36" s="97">
        <v>21</v>
      </c>
    </row>
    <row r="37" spans="1:8" x14ac:dyDescent="0.2">
      <c r="A37" s="100" t="s">
        <v>154</v>
      </c>
      <c r="B37" s="97">
        <v>14</v>
      </c>
    </row>
    <row r="38" spans="1:8" x14ac:dyDescent="0.2">
      <c r="A38" s="100" t="s">
        <v>155</v>
      </c>
      <c r="B38" s="97">
        <v>500</v>
      </c>
    </row>
    <row r="40" spans="1:8" x14ac:dyDescent="0.2">
      <c r="A40" s="81" t="s">
        <v>156</v>
      </c>
    </row>
    <row r="42" spans="1:8" x14ac:dyDescent="0.2">
      <c r="A42" s="80" t="s">
        <v>157</v>
      </c>
    </row>
    <row r="43" spans="1:8" x14ac:dyDescent="0.2">
      <c r="A43" s="80" t="s">
        <v>158</v>
      </c>
    </row>
    <row r="44" spans="1:8" x14ac:dyDescent="0.2">
      <c r="A44" s="80" t="s">
        <v>159</v>
      </c>
    </row>
    <row r="45" spans="1:8" x14ac:dyDescent="0.2">
      <c r="A45" s="101" t="s">
        <v>160</v>
      </c>
    </row>
    <row r="46" spans="1:8" x14ac:dyDescent="0.2">
      <c r="A46" s="101" t="s">
        <v>161</v>
      </c>
    </row>
    <row r="48" spans="1:8" x14ac:dyDescent="0.2">
      <c r="A48" s="81"/>
    </row>
    <row r="49" spans="1:5" x14ac:dyDescent="0.2">
      <c r="A49" s="102"/>
      <c r="B49" s="102"/>
      <c r="C49" s="102"/>
      <c r="D49" s="102"/>
      <c r="E49" s="102"/>
    </row>
    <row r="56" spans="1:5" x14ac:dyDescent="0.2">
      <c r="B56" s="103"/>
      <c r="C56" s="103"/>
      <c r="D56" s="103"/>
      <c r="E56" s="103"/>
    </row>
    <row r="57" spans="1:5" x14ac:dyDescent="0.2">
      <c r="A57" s="104"/>
      <c r="B57" s="103"/>
      <c r="C57" s="103"/>
      <c r="D57" s="103"/>
      <c r="E57" s="103"/>
    </row>
    <row r="58" spans="1:5" x14ac:dyDescent="0.2">
      <c r="A58" s="104"/>
      <c r="B58" s="103"/>
      <c r="C58" s="103"/>
      <c r="D58" s="103"/>
      <c r="E58" s="103"/>
    </row>
    <row r="59" spans="1:5" x14ac:dyDescent="0.2">
      <c r="A59" s="104"/>
      <c r="B59" s="103"/>
      <c r="C59" s="103"/>
      <c r="D59" s="103"/>
      <c r="E59" s="103"/>
    </row>
  </sheetData>
  <mergeCells count="1">
    <mergeCell ref="B26:G26"/>
  </mergeCells>
  <pageMargins left="0.25" right="0.25" top="0.5" bottom="0.25" header="0.25" footer="0.25"/>
  <pageSetup paperSize="9" orientation="portrait" horizontalDpi="0" verticalDpi="0" r:id="rId1"/>
  <headerFooter alignWithMargins="0">
    <oddHeader>&amp;R&amp;"Times New Roman Greek,Italic"&amp;UΜάθημα: Πληροφορική  Καθ: Καραμαούνας Πολύκαρπος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A00A-A3FF-4453-998B-E64AD16B551B}">
  <dimension ref="A1:K48"/>
  <sheetViews>
    <sheetView topLeftCell="A26" workbookViewId="0">
      <selection activeCell="D48" sqref="D48"/>
    </sheetView>
  </sheetViews>
  <sheetFormatPr defaultRowHeight="12.75" x14ac:dyDescent="0.2"/>
  <cols>
    <col min="1" max="1" width="11.140625" style="80" customWidth="1"/>
    <col min="2" max="2" width="12" style="80" bestFit="1" customWidth="1"/>
    <col min="3" max="3" width="11.7109375" style="80" bestFit="1" customWidth="1"/>
    <col min="4" max="4" width="7.85546875" style="80" bestFit="1" customWidth="1"/>
    <col min="5" max="5" width="7.140625" style="80" bestFit="1" customWidth="1"/>
    <col min="6" max="6" width="7.85546875" style="80" bestFit="1" customWidth="1"/>
    <col min="7" max="7" width="5.140625" style="80" bestFit="1" customWidth="1"/>
    <col min="8" max="8" width="7" style="80" bestFit="1" customWidth="1"/>
    <col min="9" max="9" width="6.5703125" style="80" bestFit="1" customWidth="1"/>
    <col min="10" max="10" width="21.85546875" style="80" bestFit="1" customWidth="1"/>
    <col min="11" max="11" width="50.5703125" style="80" bestFit="1" customWidth="1"/>
    <col min="12" max="16384" width="9.140625" style="80"/>
  </cols>
  <sheetData>
    <row r="1" spans="1:11" ht="15.75" x14ac:dyDescent="0.25">
      <c r="A1" s="79"/>
    </row>
    <row r="2" spans="1:11" ht="15.75" x14ac:dyDescent="0.25">
      <c r="A2" s="79" t="s">
        <v>162</v>
      </c>
    </row>
    <row r="4" spans="1:11" x14ac:dyDescent="0.2">
      <c r="A4" s="236" t="s">
        <v>797</v>
      </c>
    </row>
    <row r="5" spans="1:11" x14ac:dyDescent="0.2">
      <c r="A5" s="273" t="s">
        <v>163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</row>
    <row r="6" spans="1:11" x14ac:dyDescent="0.2">
      <c r="B6" s="105"/>
      <c r="C6" s="105"/>
      <c r="D6" s="105"/>
      <c r="E6" s="105"/>
      <c r="F6" s="105"/>
      <c r="G6" s="102"/>
    </row>
    <row r="7" spans="1:11" x14ac:dyDescent="0.2">
      <c r="A7" s="106"/>
      <c r="B7" s="105" t="s">
        <v>164</v>
      </c>
    </row>
    <row r="8" spans="1:11" x14ac:dyDescent="0.2">
      <c r="A8" s="105" t="s">
        <v>165</v>
      </c>
      <c r="C8" s="107" t="s">
        <v>166</v>
      </c>
      <c r="D8" s="107" t="s">
        <v>167</v>
      </c>
      <c r="E8" s="107" t="s">
        <v>168</v>
      </c>
      <c r="F8" s="107" t="s">
        <v>169</v>
      </c>
      <c r="G8" s="107" t="s">
        <v>60</v>
      </c>
      <c r="H8" s="107" t="s">
        <v>170</v>
      </c>
      <c r="I8" s="107" t="s">
        <v>171</v>
      </c>
      <c r="J8" s="107" t="s">
        <v>172</v>
      </c>
      <c r="K8" s="107" t="s">
        <v>173</v>
      </c>
    </row>
    <row r="9" spans="1:11" x14ac:dyDescent="0.2">
      <c r="A9" s="108">
        <v>1</v>
      </c>
      <c r="B9" s="97" t="s">
        <v>174</v>
      </c>
      <c r="C9" s="99">
        <v>18</v>
      </c>
      <c r="D9" s="99">
        <v>12</v>
      </c>
      <c r="E9" s="99">
        <v>17</v>
      </c>
      <c r="F9" s="99">
        <v>11</v>
      </c>
      <c r="G9" s="99"/>
      <c r="H9" s="99"/>
      <c r="I9" s="99"/>
      <c r="J9" s="234" t="s">
        <v>795</v>
      </c>
      <c r="K9" s="234" t="s">
        <v>796</v>
      </c>
    </row>
    <row r="10" spans="1:11" x14ac:dyDescent="0.2">
      <c r="A10" s="108">
        <v>2</v>
      </c>
      <c r="B10" s="97" t="s">
        <v>175</v>
      </c>
      <c r="C10" s="99">
        <v>8</v>
      </c>
      <c r="D10" s="99">
        <v>9</v>
      </c>
      <c r="E10" s="99">
        <v>10</v>
      </c>
      <c r="F10" s="99">
        <v>12</v>
      </c>
      <c r="G10" s="99"/>
      <c r="H10" s="99"/>
      <c r="I10" s="99"/>
      <c r="J10" s="99"/>
      <c r="K10" s="99"/>
    </row>
    <row r="11" spans="1:11" x14ac:dyDescent="0.2">
      <c r="A11" s="108">
        <v>3</v>
      </c>
      <c r="B11" s="97" t="s">
        <v>176</v>
      </c>
      <c r="C11" s="99">
        <v>6</v>
      </c>
      <c r="D11" s="99">
        <v>8</v>
      </c>
      <c r="E11" s="99">
        <v>10</v>
      </c>
      <c r="F11" s="99">
        <v>11</v>
      </c>
      <c r="G11" s="99"/>
      <c r="H11" s="99"/>
      <c r="I11" s="99"/>
      <c r="J11" s="99"/>
      <c r="K11" s="99"/>
    </row>
    <row r="12" spans="1:11" x14ac:dyDescent="0.2">
      <c r="A12" s="108">
        <v>4</v>
      </c>
      <c r="B12" s="97" t="s">
        <v>177</v>
      </c>
      <c r="C12" s="99">
        <v>17</v>
      </c>
      <c r="D12" s="99">
        <v>20</v>
      </c>
      <c r="E12" s="99">
        <v>18</v>
      </c>
      <c r="F12" s="99">
        <v>19</v>
      </c>
      <c r="G12" s="99"/>
      <c r="H12" s="99"/>
      <c r="I12" s="99"/>
      <c r="J12" s="99"/>
      <c r="K12" s="99"/>
    </row>
    <row r="13" spans="1:11" x14ac:dyDescent="0.2">
      <c r="A13" s="108">
        <v>5</v>
      </c>
      <c r="B13" s="97" t="s">
        <v>178</v>
      </c>
      <c r="C13" s="99">
        <v>13</v>
      </c>
      <c r="D13" s="99">
        <v>15</v>
      </c>
      <c r="E13" s="99">
        <v>16</v>
      </c>
      <c r="F13" s="99">
        <v>14</v>
      </c>
      <c r="G13" s="99"/>
      <c r="H13" s="99"/>
      <c r="I13" s="99"/>
      <c r="J13" s="99"/>
      <c r="K13" s="99"/>
    </row>
    <row r="14" spans="1:11" x14ac:dyDescent="0.2">
      <c r="A14" s="108">
        <v>6</v>
      </c>
      <c r="B14" s="97" t="s">
        <v>179</v>
      </c>
      <c r="C14" s="99">
        <v>16</v>
      </c>
      <c r="D14" s="99">
        <v>17</v>
      </c>
      <c r="E14" s="99">
        <v>14</v>
      </c>
      <c r="F14" s="99">
        <v>15</v>
      </c>
      <c r="G14" s="99"/>
      <c r="H14" s="99"/>
      <c r="I14" s="99"/>
      <c r="J14" s="99"/>
      <c r="K14" s="99"/>
    </row>
    <row r="16" spans="1:11" x14ac:dyDescent="0.2">
      <c r="B16" s="109" t="s">
        <v>60</v>
      </c>
      <c r="C16" s="110"/>
      <c r="D16" s="110"/>
      <c r="E16" s="110"/>
      <c r="F16" s="110"/>
    </row>
    <row r="17" spans="1:11" x14ac:dyDescent="0.2">
      <c r="B17" s="109" t="s">
        <v>180</v>
      </c>
      <c r="C17" s="99"/>
      <c r="D17" s="99"/>
      <c r="E17" s="99"/>
      <c r="F17" s="99"/>
    </row>
    <row r="18" spans="1:11" x14ac:dyDescent="0.2">
      <c r="B18" s="109" t="s">
        <v>181</v>
      </c>
      <c r="C18" s="99"/>
      <c r="D18" s="99"/>
      <c r="E18" s="99"/>
      <c r="F18" s="99"/>
    </row>
    <row r="20" spans="1:11" x14ac:dyDescent="0.2">
      <c r="A20" s="80" t="s">
        <v>182</v>
      </c>
    </row>
    <row r="21" spans="1:11" x14ac:dyDescent="0.2">
      <c r="A21" s="80" t="s">
        <v>183</v>
      </c>
    </row>
    <row r="22" spans="1:11" ht="13.5" thickBot="1" x14ac:dyDescent="0.25">
      <c r="D22" s="111">
        <v>0</v>
      </c>
      <c r="E22" s="111"/>
      <c r="F22" s="111">
        <v>10</v>
      </c>
      <c r="G22" s="111"/>
      <c r="H22" s="111"/>
      <c r="I22" s="111">
        <v>18</v>
      </c>
      <c r="J22" s="111"/>
      <c r="K22" s="111">
        <v>20</v>
      </c>
    </row>
    <row r="23" spans="1:11" ht="13.5" thickBot="1" x14ac:dyDescent="0.25">
      <c r="D23" s="274" t="s">
        <v>184</v>
      </c>
      <c r="E23" s="274"/>
      <c r="F23" s="275"/>
      <c r="G23" s="276" t="s">
        <v>185</v>
      </c>
      <c r="H23" s="276"/>
      <c r="I23" s="276"/>
      <c r="J23" s="277" t="s">
        <v>186</v>
      </c>
      <c r="K23" s="274"/>
    </row>
    <row r="25" spans="1:11" x14ac:dyDescent="0.2">
      <c r="A25" s="236" t="s">
        <v>798</v>
      </c>
    </row>
    <row r="27" spans="1:11" ht="15.75" x14ac:dyDescent="0.25">
      <c r="A27" s="271" t="s">
        <v>187</v>
      </c>
      <c r="B27" s="271"/>
      <c r="C27" s="271"/>
      <c r="D27" s="271"/>
      <c r="E27" s="271"/>
      <c r="F27" s="271"/>
      <c r="G27" s="271"/>
      <c r="H27" s="271"/>
      <c r="I27" s="271"/>
      <c r="J27" s="271"/>
    </row>
    <row r="29" spans="1:11" ht="15.75" x14ac:dyDescent="0.25">
      <c r="A29" s="271" t="s">
        <v>188</v>
      </c>
      <c r="B29" s="271"/>
      <c r="C29" s="271"/>
      <c r="D29" s="271"/>
      <c r="E29" s="271"/>
      <c r="F29" s="271"/>
      <c r="G29" s="271"/>
      <c r="H29" s="271"/>
      <c r="I29" s="271"/>
      <c r="J29" s="271"/>
    </row>
    <row r="31" spans="1:11" x14ac:dyDescent="0.2">
      <c r="A31" s="107" t="s">
        <v>189</v>
      </c>
      <c r="B31" s="107" t="s">
        <v>190</v>
      </c>
      <c r="C31" s="107" t="s">
        <v>191</v>
      </c>
      <c r="D31" s="107" t="s">
        <v>192</v>
      </c>
      <c r="E31" s="272" t="s">
        <v>193</v>
      </c>
      <c r="F31" s="272"/>
      <c r="G31" s="272" t="s">
        <v>194</v>
      </c>
      <c r="H31" s="272"/>
      <c r="I31" s="272" t="s">
        <v>195</v>
      </c>
      <c r="J31" s="272"/>
    </row>
    <row r="32" spans="1:11" x14ac:dyDescent="0.2">
      <c r="A32" s="97" t="s">
        <v>196</v>
      </c>
      <c r="B32" s="97">
        <v>5000</v>
      </c>
      <c r="C32" s="97">
        <v>4</v>
      </c>
      <c r="D32" s="97">
        <v>7</v>
      </c>
      <c r="E32" s="270" t="str">
        <f>IF(D32&gt;C32,"ΝΑΙ","ΟΧΙ")</f>
        <v>ΝΑΙ</v>
      </c>
      <c r="F32" s="270"/>
      <c r="G32" s="270">
        <f>IF(E32="ΝΑΙ",IF(B32&gt;=5000,D32*2,D32*3),0)</f>
        <v>14</v>
      </c>
      <c r="H32" s="270"/>
      <c r="I32" s="270">
        <f>G32*B32</f>
        <v>70000</v>
      </c>
      <c r="J32" s="270"/>
    </row>
    <row r="33" spans="1:10" x14ac:dyDescent="0.2">
      <c r="A33" s="97" t="s">
        <v>197</v>
      </c>
      <c r="B33" s="97">
        <v>4000</v>
      </c>
      <c r="C33" s="97">
        <v>45</v>
      </c>
      <c r="D33" s="97">
        <v>40</v>
      </c>
      <c r="E33" s="270" t="str">
        <f t="shared" ref="E33:E38" si="0">IF(D33&gt;C33,"ΝΑΙ","ΟΧΙ")</f>
        <v>ΟΧΙ</v>
      </c>
      <c r="F33" s="270"/>
      <c r="G33" s="270">
        <f t="shared" ref="G33:G38" si="1">IF(E33="ΝΑΙ",IF(B33&gt;=5000,D33*2,D33*3),0)</f>
        <v>0</v>
      </c>
      <c r="H33" s="270"/>
      <c r="I33" s="270">
        <f t="shared" ref="I33:I38" si="2">G33*B33</f>
        <v>0</v>
      </c>
      <c r="J33" s="270"/>
    </row>
    <row r="34" spans="1:10" x14ac:dyDescent="0.2">
      <c r="A34" s="97" t="s">
        <v>198</v>
      </c>
      <c r="B34" s="97">
        <v>2800</v>
      </c>
      <c r="C34" s="97">
        <v>12</v>
      </c>
      <c r="D34" s="97">
        <v>20</v>
      </c>
      <c r="E34" s="270" t="str">
        <f t="shared" si="0"/>
        <v>ΝΑΙ</v>
      </c>
      <c r="F34" s="270"/>
      <c r="G34" s="270">
        <f t="shared" si="1"/>
        <v>60</v>
      </c>
      <c r="H34" s="270"/>
      <c r="I34" s="270">
        <f t="shared" si="2"/>
        <v>168000</v>
      </c>
      <c r="J34" s="270"/>
    </row>
    <row r="35" spans="1:10" x14ac:dyDescent="0.2">
      <c r="A35" s="97" t="s">
        <v>199</v>
      </c>
      <c r="B35" s="97">
        <v>20000</v>
      </c>
      <c r="C35" s="97">
        <v>8</v>
      </c>
      <c r="D35" s="97">
        <v>5</v>
      </c>
      <c r="E35" s="270" t="str">
        <f t="shared" si="0"/>
        <v>ΟΧΙ</v>
      </c>
      <c r="F35" s="270"/>
      <c r="G35" s="270">
        <f t="shared" si="1"/>
        <v>0</v>
      </c>
      <c r="H35" s="270"/>
      <c r="I35" s="270">
        <f t="shared" si="2"/>
        <v>0</v>
      </c>
      <c r="J35" s="270"/>
    </row>
    <row r="36" spans="1:10" x14ac:dyDescent="0.2">
      <c r="A36" s="97" t="s">
        <v>200</v>
      </c>
      <c r="B36" s="97">
        <v>21000</v>
      </c>
      <c r="C36" s="97">
        <v>3</v>
      </c>
      <c r="D36" s="97">
        <v>4</v>
      </c>
      <c r="E36" s="270" t="str">
        <f t="shared" si="0"/>
        <v>ΝΑΙ</v>
      </c>
      <c r="F36" s="270"/>
      <c r="G36" s="270">
        <f t="shared" si="1"/>
        <v>8</v>
      </c>
      <c r="H36" s="270"/>
      <c r="I36" s="270">
        <f t="shared" si="2"/>
        <v>168000</v>
      </c>
      <c r="J36" s="270"/>
    </row>
    <row r="37" spans="1:10" x14ac:dyDescent="0.2">
      <c r="A37" s="97" t="s">
        <v>201</v>
      </c>
      <c r="B37" s="97">
        <v>6000</v>
      </c>
      <c r="C37" s="97">
        <v>6</v>
      </c>
      <c r="D37" s="97">
        <v>5</v>
      </c>
      <c r="E37" s="270" t="str">
        <f t="shared" si="0"/>
        <v>ΟΧΙ</v>
      </c>
      <c r="F37" s="270"/>
      <c r="G37" s="270">
        <f t="shared" si="1"/>
        <v>0</v>
      </c>
      <c r="H37" s="270"/>
      <c r="I37" s="270">
        <f t="shared" si="2"/>
        <v>0</v>
      </c>
      <c r="J37" s="270"/>
    </row>
    <row r="38" spans="1:10" x14ac:dyDescent="0.2">
      <c r="A38" s="97" t="s">
        <v>202</v>
      </c>
      <c r="B38" s="97">
        <v>6500</v>
      </c>
      <c r="C38" s="97">
        <v>8</v>
      </c>
      <c r="D38" s="97">
        <v>10</v>
      </c>
      <c r="E38" s="270" t="str">
        <f t="shared" si="0"/>
        <v>ΝΑΙ</v>
      </c>
      <c r="F38" s="270"/>
      <c r="G38" s="270">
        <f t="shared" si="1"/>
        <v>20</v>
      </c>
      <c r="H38" s="270"/>
      <c r="I38" s="270">
        <f t="shared" si="2"/>
        <v>130000</v>
      </c>
      <c r="J38" s="270"/>
    </row>
    <row r="40" spans="1:10" x14ac:dyDescent="0.2">
      <c r="G40" s="269" t="s">
        <v>203</v>
      </c>
      <c r="H40" s="269"/>
      <c r="I40" s="270">
        <f>SUM(I32:J39)</f>
        <v>536000</v>
      </c>
      <c r="J40" s="270"/>
    </row>
    <row r="42" spans="1:10" x14ac:dyDescent="0.2">
      <c r="A42" s="80" t="s">
        <v>204</v>
      </c>
    </row>
    <row r="43" spans="1:10" x14ac:dyDescent="0.2">
      <c r="A43" s="80" t="s">
        <v>205</v>
      </c>
    </row>
    <row r="44" spans="1:10" x14ac:dyDescent="0.2">
      <c r="B44" s="80" t="s">
        <v>206</v>
      </c>
    </row>
    <row r="45" spans="1:10" x14ac:dyDescent="0.2">
      <c r="B45" s="80" t="s">
        <v>207</v>
      </c>
    </row>
    <row r="46" spans="1:10" x14ac:dyDescent="0.2">
      <c r="B46" s="236" t="s">
        <v>799</v>
      </c>
    </row>
    <row r="47" spans="1:10" x14ac:dyDescent="0.2">
      <c r="B47" s="80" t="s">
        <v>208</v>
      </c>
    </row>
    <row r="48" spans="1:10" x14ac:dyDescent="0.2">
      <c r="B48" s="236" t="s">
        <v>800</v>
      </c>
    </row>
  </sheetData>
  <mergeCells count="32">
    <mergeCell ref="A5:K5"/>
    <mergeCell ref="D23:F23"/>
    <mergeCell ref="G23:I23"/>
    <mergeCell ref="J23:K23"/>
    <mergeCell ref="A27:J27"/>
    <mergeCell ref="A29:J29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G40:H40"/>
    <mergeCell ref="I40:J40"/>
    <mergeCell ref="E37:F37"/>
    <mergeCell ref="G37:H37"/>
    <mergeCell ref="I37:J37"/>
    <mergeCell ref="E38:F38"/>
    <mergeCell ref="G38:H38"/>
    <mergeCell ref="I38:J38"/>
  </mergeCells>
  <pageMargins left="0.25" right="0.25" top="1" bottom="1" header="0.5" footer="0.5"/>
  <pageSetup paperSize="9" orientation="portrait" r:id="rId1"/>
  <headerFooter alignWithMargins="0">
    <oddHeader>&amp;R&amp;"Times New Roman Greek,Italic"Μάθημα: Πληροφορική  Καθ: Καραμαούνας Πολύκαρπος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DA58-3BE8-4F95-9C44-5732E8772B61}">
  <sheetPr>
    <pageSetUpPr fitToPage="1"/>
  </sheetPr>
  <dimension ref="A1:H15"/>
  <sheetViews>
    <sheetView zoomScaleNormal="100" workbookViewId="0">
      <selection activeCell="D12" sqref="D12"/>
    </sheetView>
  </sheetViews>
  <sheetFormatPr defaultRowHeight="15" x14ac:dyDescent="0.25"/>
  <cols>
    <col min="1" max="1" width="13.42578125" style="148" bestFit="1" customWidth="1"/>
    <col min="2" max="2" width="10.5703125" style="148" bestFit="1" customWidth="1"/>
    <col min="3" max="3" width="8" style="148" customWidth="1"/>
    <col min="4" max="4" width="33" style="148" customWidth="1"/>
    <col min="5" max="5" width="26.140625" style="148" bestFit="1" customWidth="1"/>
    <col min="6" max="6" width="28.42578125" style="148" bestFit="1" customWidth="1"/>
    <col min="7" max="7" width="7.5703125" style="148" bestFit="1" customWidth="1"/>
    <col min="8" max="8" width="28.7109375" style="148" bestFit="1" customWidth="1"/>
    <col min="9" max="16384" width="9.140625" style="148"/>
  </cols>
  <sheetData>
    <row r="1" spans="1:8" ht="21.75" x14ac:dyDescent="0.45">
      <c r="A1" s="149" t="s">
        <v>474</v>
      </c>
      <c r="F1" s="148" t="s">
        <v>463</v>
      </c>
    </row>
    <row r="3" spans="1:8" ht="19.5" x14ac:dyDescent="0.4">
      <c r="A3" s="150"/>
    </row>
    <row r="5" spans="1:8" x14ac:dyDescent="0.25">
      <c r="B5" s="158" t="s">
        <v>72</v>
      </c>
      <c r="C5" s="158" t="s">
        <v>464</v>
      </c>
      <c r="D5" s="158" t="s">
        <v>475</v>
      </c>
    </row>
    <row r="6" spans="1:8" x14ac:dyDescent="0.25">
      <c r="A6" s="152"/>
      <c r="B6" s="152">
        <v>5</v>
      </c>
      <c r="C6" s="148">
        <v>3</v>
      </c>
      <c r="D6" s="148" t="str">
        <f>IF(B6&gt;C6,F6,H6)</f>
        <v>"Ο Α είναι μεγαλύτερος του Β"</v>
      </c>
      <c r="E6" s="153" t="s">
        <v>476</v>
      </c>
      <c r="F6" s="159" t="s">
        <v>477</v>
      </c>
      <c r="G6" s="153" t="s">
        <v>478</v>
      </c>
      <c r="H6" s="159" t="s">
        <v>479</v>
      </c>
    </row>
    <row r="7" spans="1:8" x14ac:dyDescent="0.25">
      <c r="A7" s="152"/>
      <c r="B7" s="152">
        <v>3</v>
      </c>
      <c r="C7" s="148">
        <v>10</v>
      </c>
      <c r="D7" s="148" t="str">
        <f>IF(B7&gt;C7,F7,H7)</f>
        <v>"Ο Α είναι μικρότερος του Β"</v>
      </c>
      <c r="E7" s="153" t="s">
        <v>480</v>
      </c>
      <c r="F7" s="159" t="s">
        <v>477</v>
      </c>
      <c r="G7" s="153" t="s">
        <v>478</v>
      </c>
      <c r="H7" s="159" t="s">
        <v>479</v>
      </c>
    </row>
    <row r="8" spans="1:8" x14ac:dyDescent="0.25">
      <c r="A8" s="152"/>
      <c r="B8" s="152"/>
    </row>
    <row r="9" spans="1:8" x14ac:dyDescent="0.25">
      <c r="A9" s="152"/>
      <c r="B9" s="158" t="s">
        <v>134</v>
      </c>
      <c r="C9" s="158" t="s">
        <v>481</v>
      </c>
      <c r="D9" s="158" t="s">
        <v>173</v>
      </c>
    </row>
    <row r="10" spans="1:8" x14ac:dyDescent="0.25">
      <c r="A10" s="152"/>
      <c r="B10" s="152" t="s">
        <v>482</v>
      </c>
      <c r="C10" s="152">
        <v>9</v>
      </c>
      <c r="D10" s="148" t="str">
        <f>IF(C10&gt; 9.9,"ΠΡΟΑΓΕΤΑΙ",H10)</f>
        <v>"ΔΕΝ ΠΡΟΑΓΕΤΑΙ" αν βαθμός&lt;9,9</v>
      </c>
      <c r="E10" s="153" t="s">
        <v>483</v>
      </c>
      <c r="F10" s="159" t="s">
        <v>484</v>
      </c>
      <c r="G10" s="153" t="s">
        <v>478</v>
      </c>
      <c r="H10" s="159" t="s">
        <v>485</v>
      </c>
    </row>
    <row r="11" spans="1:8" x14ac:dyDescent="0.25">
      <c r="A11" s="152"/>
      <c r="B11" s="152" t="s">
        <v>486</v>
      </c>
      <c r="C11" s="148">
        <v>15</v>
      </c>
      <c r="D11" s="148" t="str">
        <f>IF(C11&gt; 9.9,"ΠΡΟΑΓΕΤΑΙ",H11)</f>
        <v>ΠΡΟΑΓΕΤΑΙ</v>
      </c>
      <c r="E11" s="153" t="s">
        <v>487</v>
      </c>
      <c r="F11" s="159" t="s">
        <v>488</v>
      </c>
      <c r="G11" s="153" t="s">
        <v>478</v>
      </c>
      <c r="H11" s="159" t="s">
        <v>485</v>
      </c>
    </row>
    <row r="12" spans="1:8" x14ac:dyDescent="0.25">
      <c r="A12" s="152"/>
      <c r="B12" s="152" t="s">
        <v>489</v>
      </c>
      <c r="C12" s="152">
        <v>19</v>
      </c>
      <c r="D12" s="148" t="str">
        <f>IF(C12&gt;=18,"ΑΡΙΣΤΑ","ΤΙΠΟΤΕ")</f>
        <v>ΑΡΙΣΤΑ</v>
      </c>
      <c r="E12" s="153" t="s">
        <v>802</v>
      </c>
      <c r="F12" s="159" t="s">
        <v>490</v>
      </c>
      <c r="G12" s="153" t="s">
        <v>478</v>
      </c>
      <c r="H12" s="159" t="s">
        <v>491</v>
      </c>
    </row>
    <row r="13" spans="1:8" x14ac:dyDescent="0.25">
      <c r="A13" s="156"/>
    </row>
    <row r="15" spans="1:8" ht="15.75" x14ac:dyDescent="0.3">
      <c r="A15" s="264"/>
      <c r="B15" s="264"/>
      <c r="C15" s="264"/>
    </row>
  </sheetData>
  <mergeCells count="1">
    <mergeCell ref="A15:C15"/>
  </mergeCells>
  <pageMargins left="0.70866141732283472" right="0.70866141732283472" top="0.74803149606299213" bottom="0.74803149606299213" header="0.31496062992125984" footer="0.31496062992125984"/>
  <pageSetup paperSize="9" scale="57" orientation="portrait" horizontalDpi="30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8C8E-0163-4341-8D9A-B72C6DFBCC0A}">
  <dimension ref="A1:K13"/>
  <sheetViews>
    <sheetView topLeftCell="A2" workbookViewId="0">
      <selection activeCell="J55" sqref="J54:J55"/>
    </sheetView>
  </sheetViews>
  <sheetFormatPr defaultRowHeight="12.75" x14ac:dyDescent="0.2"/>
  <cols>
    <col min="1" max="1" width="4.140625" bestFit="1" customWidth="1"/>
    <col min="3" max="3" width="11" customWidth="1"/>
    <col min="4" max="4" width="6.5703125" bestFit="1" customWidth="1"/>
    <col min="5" max="9" width="5.7109375" customWidth="1"/>
    <col min="10" max="10" width="8.140625" customWidth="1"/>
    <col min="11" max="11" width="13.85546875" bestFit="1" customWidth="1"/>
  </cols>
  <sheetData>
    <row r="1" spans="1:11" ht="17.25" customHeight="1" x14ac:dyDescent="0.2">
      <c r="A1" s="278" t="s">
        <v>55</v>
      </c>
      <c r="B1" s="278" t="s">
        <v>56</v>
      </c>
      <c r="C1" s="278" t="s">
        <v>57</v>
      </c>
      <c r="D1" s="290" t="s">
        <v>58</v>
      </c>
      <c r="E1" s="291" t="s">
        <v>59</v>
      </c>
      <c r="F1" s="291"/>
      <c r="G1" s="291"/>
      <c r="H1" s="291"/>
      <c r="I1" s="291"/>
      <c r="J1" s="278" t="s">
        <v>60</v>
      </c>
      <c r="K1" s="278" t="s">
        <v>61</v>
      </c>
    </row>
    <row r="2" spans="1:11" ht="63" customHeight="1" x14ac:dyDescent="0.2">
      <c r="A2" s="278"/>
      <c r="B2" s="278"/>
      <c r="C2" s="278"/>
      <c r="D2" s="290"/>
      <c r="E2" s="22" t="s">
        <v>38</v>
      </c>
      <c r="F2" s="22" t="s">
        <v>27</v>
      </c>
      <c r="G2" s="22" t="s">
        <v>62</v>
      </c>
      <c r="H2" s="22" t="s">
        <v>63</v>
      </c>
      <c r="I2" s="22" t="s">
        <v>64</v>
      </c>
      <c r="J2" s="278"/>
      <c r="K2" s="278"/>
    </row>
    <row r="3" spans="1:11" s="25" customFormat="1" ht="18" customHeight="1" x14ac:dyDescent="0.2">
      <c r="A3" s="2">
        <v>1</v>
      </c>
      <c r="B3" s="23" t="s">
        <v>65</v>
      </c>
      <c r="C3" s="23" t="s">
        <v>66</v>
      </c>
      <c r="D3" s="2" t="s">
        <v>67</v>
      </c>
      <c r="E3" s="2">
        <v>10</v>
      </c>
      <c r="F3" s="2">
        <v>11</v>
      </c>
      <c r="G3" s="2">
        <v>10</v>
      </c>
      <c r="H3" s="2">
        <v>11</v>
      </c>
      <c r="I3" s="2">
        <v>12</v>
      </c>
      <c r="J3" s="24"/>
      <c r="K3" s="24"/>
    </row>
    <row r="4" spans="1:11" s="25" customFormat="1" ht="18" customHeight="1" x14ac:dyDescent="0.2">
      <c r="A4" s="26">
        <v>2</v>
      </c>
      <c r="B4" s="27" t="s">
        <v>68</v>
      </c>
      <c r="C4" s="27" t="s">
        <v>69</v>
      </c>
      <c r="D4" s="26" t="s">
        <v>67</v>
      </c>
      <c r="E4" s="26">
        <v>14</v>
      </c>
      <c r="F4" s="26">
        <v>11</v>
      </c>
      <c r="G4" s="26">
        <v>17</v>
      </c>
      <c r="H4" s="26">
        <v>12</v>
      </c>
      <c r="I4" s="26">
        <v>15</v>
      </c>
      <c r="J4" s="28"/>
      <c r="K4" s="28"/>
    </row>
    <row r="5" spans="1:11" s="25" customFormat="1" ht="18" customHeight="1" x14ac:dyDescent="0.2">
      <c r="A5" s="26">
        <v>3</v>
      </c>
      <c r="B5" s="27" t="s">
        <v>70</v>
      </c>
      <c r="C5" s="27" t="s">
        <v>71</v>
      </c>
      <c r="D5" s="26" t="s">
        <v>72</v>
      </c>
      <c r="E5" s="26">
        <v>9</v>
      </c>
      <c r="F5" s="26">
        <v>8</v>
      </c>
      <c r="G5" s="26">
        <v>10</v>
      </c>
      <c r="H5" s="26">
        <v>1</v>
      </c>
      <c r="I5" s="26">
        <v>9</v>
      </c>
      <c r="J5" s="28"/>
      <c r="K5" s="28"/>
    </row>
    <row r="6" spans="1:11" s="25" customFormat="1" ht="18" customHeight="1" x14ac:dyDescent="0.2">
      <c r="A6" s="26">
        <v>4</v>
      </c>
      <c r="B6" s="27" t="s">
        <v>73</v>
      </c>
      <c r="C6" s="27" t="s">
        <v>74</v>
      </c>
      <c r="D6" s="26" t="s">
        <v>72</v>
      </c>
      <c r="E6" s="26">
        <v>10</v>
      </c>
      <c r="F6" s="26">
        <v>10</v>
      </c>
      <c r="G6" s="26">
        <v>8</v>
      </c>
      <c r="H6" s="26">
        <v>9</v>
      </c>
      <c r="I6" s="26">
        <v>9</v>
      </c>
      <c r="J6" s="28"/>
      <c r="K6" s="28"/>
    </row>
    <row r="7" spans="1:11" s="25" customFormat="1" ht="18" customHeight="1" x14ac:dyDescent="0.2">
      <c r="A7" s="26">
        <v>5</v>
      </c>
      <c r="B7" s="27" t="s">
        <v>75</v>
      </c>
      <c r="C7" s="27" t="s">
        <v>76</v>
      </c>
      <c r="D7" s="26" t="s">
        <v>67</v>
      </c>
      <c r="E7" s="26">
        <v>12</v>
      </c>
      <c r="F7" s="26">
        <v>12</v>
      </c>
      <c r="G7" s="26">
        <v>12</v>
      </c>
      <c r="H7" s="26">
        <v>12</v>
      </c>
      <c r="I7" s="26">
        <v>12</v>
      </c>
      <c r="J7" s="28"/>
      <c r="K7" s="28"/>
    </row>
    <row r="8" spans="1:11" s="25" customFormat="1" ht="18" customHeight="1" x14ac:dyDescent="0.2">
      <c r="A8" s="26">
        <v>6</v>
      </c>
      <c r="B8" s="27" t="s">
        <v>77</v>
      </c>
      <c r="C8" s="29" t="s">
        <v>78</v>
      </c>
      <c r="D8" s="3" t="s">
        <v>67</v>
      </c>
      <c r="E8" s="3">
        <v>19</v>
      </c>
      <c r="F8" s="3">
        <v>18</v>
      </c>
      <c r="G8" s="3">
        <v>20</v>
      </c>
      <c r="H8" s="3">
        <v>20</v>
      </c>
      <c r="I8" s="26">
        <v>19</v>
      </c>
      <c r="J8" s="28"/>
      <c r="K8" s="28"/>
    </row>
    <row r="9" spans="1:11" ht="18" customHeight="1" x14ac:dyDescent="0.2">
      <c r="B9" s="279" t="s">
        <v>79</v>
      </c>
      <c r="C9" s="282" t="s">
        <v>80</v>
      </c>
      <c r="D9" s="283"/>
      <c r="E9" s="283"/>
      <c r="F9" s="283"/>
      <c r="G9" s="283"/>
      <c r="H9" s="284"/>
      <c r="I9" s="30"/>
    </row>
    <row r="10" spans="1:11" ht="18" customHeight="1" x14ac:dyDescent="0.2">
      <c r="B10" s="280"/>
      <c r="C10" s="285" t="s">
        <v>81</v>
      </c>
      <c r="D10" s="285"/>
      <c r="E10" s="285"/>
      <c r="F10" s="285"/>
      <c r="G10" s="285"/>
      <c r="H10" s="286"/>
      <c r="I10" s="30"/>
    </row>
    <row r="11" spans="1:11" ht="21.75" customHeight="1" x14ac:dyDescent="0.2">
      <c r="B11" s="280"/>
      <c r="C11" s="282" t="s">
        <v>82</v>
      </c>
      <c r="D11" s="283"/>
      <c r="E11" s="283"/>
      <c r="F11" s="283"/>
      <c r="G11" s="283"/>
      <c r="H11" s="284"/>
      <c r="I11" s="30"/>
    </row>
    <row r="12" spans="1:11" ht="15.75" customHeight="1" x14ac:dyDescent="0.2">
      <c r="B12" s="280"/>
      <c r="C12" s="287" t="s">
        <v>83</v>
      </c>
      <c r="D12" s="288"/>
      <c r="E12" s="288"/>
      <c r="F12" s="288"/>
      <c r="G12" s="288"/>
      <c r="H12" s="289"/>
      <c r="I12" s="30"/>
    </row>
    <row r="13" spans="1:11" ht="17.25" customHeight="1" x14ac:dyDescent="0.2">
      <c r="B13" s="281"/>
      <c r="C13" s="287" t="s">
        <v>84</v>
      </c>
      <c r="D13" s="288"/>
      <c r="E13" s="288"/>
      <c r="F13" s="288"/>
      <c r="G13" s="288"/>
      <c r="H13" s="289"/>
      <c r="I13" s="30"/>
    </row>
  </sheetData>
  <mergeCells count="13">
    <mergeCell ref="A1:A2"/>
    <mergeCell ref="B1:B2"/>
    <mergeCell ref="C1:C2"/>
    <mergeCell ref="D1:D2"/>
    <mergeCell ref="E1:I1"/>
    <mergeCell ref="J1:J2"/>
    <mergeCell ref="K1:K2"/>
    <mergeCell ref="B9:B13"/>
    <mergeCell ref="C9:H9"/>
    <mergeCell ref="C10:H10"/>
    <mergeCell ref="C11:H11"/>
    <mergeCell ref="C12:H12"/>
    <mergeCell ref="C13:H13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78B5-8C67-4919-B775-4C9F6795C0C7}">
  <dimension ref="A1:R19"/>
  <sheetViews>
    <sheetView tabSelected="1" topLeftCell="A2" workbookViewId="0">
      <selection activeCell="T18" sqref="T18"/>
    </sheetView>
  </sheetViews>
  <sheetFormatPr defaultRowHeight="12.75" x14ac:dyDescent="0.2"/>
  <cols>
    <col min="1" max="1" width="12.140625" customWidth="1"/>
    <col min="2" max="2" width="4.5703125" customWidth="1"/>
    <col min="3" max="3" width="4.7109375" bestFit="1" customWidth="1"/>
    <col min="4" max="4" width="6.28515625" customWidth="1"/>
    <col min="5" max="5" width="4.7109375" bestFit="1" customWidth="1"/>
    <col min="6" max="6" width="5.42578125" customWidth="1"/>
    <col min="7" max="7" width="4.42578125" bestFit="1" customWidth="1"/>
    <col min="8" max="8" width="3.7109375" customWidth="1"/>
    <col min="9" max="9" width="4" customWidth="1"/>
    <col min="10" max="10" width="3.7109375" customWidth="1"/>
    <col min="11" max="11" width="4.140625" customWidth="1"/>
    <col min="12" max="12" width="3.7109375" customWidth="1"/>
    <col min="13" max="13" width="4" customWidth="1"/>
    <col min="14" max="14" width="3.7109375" customWidth="1"/>
    <col min="15" max="15" width="5.140625" customWidth="1"/>
    <col min="16" max="16" width="5.5703125" customWidth="1"/>
    <col min="17" max="17" width="9.28515625" bestFit="1" customWidth="1"/>
    <col min="18" max="18" width="11.42578125" customWidth="1"/>
  </cols>
  <sheetData>
    <row r="1" spans="1:18" x14ac:dyDescent="0.2">
      <c r="A1" s="306" t="s">
        <v>19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9"/>
    </row>
    <row r="2" spans="1:18" ht="34.5" customHeight="1" x14ac:dyDescent="0.2">
      <c r="A2" s="307" t="s">
        <v>20</v>
      </c>
      <c r="B2" s="308" t="s">
        <v>21</v>
      </c>
      <c r="C2" s="309" t="s">
        <v>22</v>
      </c>
      <c r="D2" s="309"/>
      <c r="E2" s="309" t="s">
        <v>23</v>
      </c>
      <c r="F2" s="309"/>
      <c r="G2" s="308" t="s">
        <v>24</v>
      </c>
      <c r="H2" s="308" t="s">
        <v>25</v>
      </c>
      <c r="I2" s="308" t="s">
        <v>26</v>
      </c>
      <c r="J2" s="308" t="s">
        <v>27</v>
      </c>
      <c r="K2" s="308" t="s">
        <v>28</v>
      </c>
      <c r="L2" s="308" t="s">
        <v>29</v>
      </c>
      <c r="M2" s="308" t="s">
        <v>30</v>
      </c>
      <c r="N2" s="308" t="s">
        <v>31</v>
      </c>
      <c r="O2" s="310" t="s">
        <v>32</v>
      </c>
      <c r="P2" s="310"/>
      <c r="Q2" s="311" t="s">
        <v>33</v>
      </c>
    </row>
    <row r="3" spans="1:18" ht="57" customHeight="1" x14ac:dyDescent="0.2">
      <c r="A3" s="307"/>
      <c r="B3" s="308"/>
      <c r="C3" s="10" t="s">
        <v>34</v>
      </c>
      <c r="D3" s="10" t="s">
        <v>35</v>
      </c>
      <c r="E3" s="10" t="s">
        <v>36</v>
      </c>
      <c r="F3" s="10" t="s">
        <v>37</v>
      </c>
      <c r="G3" s="308"/>
      <c r="H3" s="308"/>
      <c r="I3" s="308"/>
      <c r="J3" s="308"/>
      <c r="K3" s="308"/>
      <c r="L3" s="308"/>
      <c r="M3" s="308"/>
      <c r="N3" s="308"/>
      <c r="O3" s="11" t="s">
        <v>38</v>
      </c>
      <c r="P3" s="11" t="s">
        <v>39</v>
      </c>
      <c r="Q3" s="311"/>
    </row>
    <row r="4" spans="1:18" ht="15" customHeight="1" x14ac:dyDescent="0.2">
      <c r="A4" s="12" t="s">
        <v>40</v>
      </c>
      <c r="B4" s="13">
        <v>16</v>
      </c>
      <c r="C4" s="14">
        <v>18</v>
      </c>
      <c r="D4" s="14">
        <v>13</v>
      </c>
      <c r="E4" s="14">
        <v>15</v>
      </c>
      <c r="F4" s="14">
        <v>14</v>
      </c>
      <c r="G4" s="14">
        <v>17</v>
      </c>
      <c r="H4" s="14">
        <v>18</v>
      </c>
      <c r="I4" s="14">
        <v>14</v>
      </c>
      <c r="J4" s="14">
        <v>15</v>
      </c>
      <c r="K4" s="14">
        <v>16</v>
      </c>
      <c r="L4" s="14">
        <v>17</v>
      </c>
      <c r="M4" s="14">
        <v>13</v>
      </c>
      <c r="N4" s="14">
        <v>11</v>
      </c>
      <c r="O4" s="14">
        <v>12</v>
      </c>
      <c r="P4" s="14">
        <v>10</v>
      </c>
      <c r="Q4" s="14">
        <v>14</v>
      </c>
    </row>
    <row r="5" spans="1:18" ht="15" customHeight="1" x14ac:dyDescent="0.2">
      <c r="A5" s="12" t="s">
        <v>41</v>
      </c>
      <c r="B5" s="15">
        <v>15</v>
      </c>
      <c r="C5" s="16">
        <v>14</v>
      </c>
      <c r="D5" s="16">
        <v>16</v>
      </c>
      <c r="E5" s="16">
        <v>16</v>
      </c>
      <c r="F5" s="16">
        <v>18</v>
      </c>
      <c r="G5" s="16">
        <v>19</v>
      </c>
      <c r="H5" s="16">
        <v>20</v>
      </c>
      <c r="I5" s="16">
        <v>15</v>
      </c>
      <c r="J5" s="16">
        <v>15</v>
      </c>
      <c r="K5" s="16">
        <v>13</v>
      </c>
      <c r="L5" s="16">
        <v>14</v>
      </c>
      <c r="M5" s="16">
        <v>12</v>
      </c>
      <c r="N5" s="16">
        <v>11</v>
      </c>
      <c r="O5" s="16">
        <v>10</v>
      </c>
      <c r="P5" s="16">
        <v>15</v>
      </c>
      <c r="Q5" s="16">
        <v>15</v>
      </c>
    </row>
    <row r="6" spans="1:18" ht="15" customHeight="1" x14ac:dyDescent="0.2">
      <c r="A6" s="12" t="s">
        <v>42</v>
      </c>
      <c r="B6" s="15">
        <v>13</v>
      </c>
      <c r="C6" s="16">
        <v>16</v>
      </c>
      <c r="D6" s="16">
        <v>15</v>
      </c>
      <c r="E6" s="16">
        <v>18</v>
      </c>
      <c r="F6" s="16">
        <v>19</v>
      </c>
      <c r="G6" s="16">
        <v>14</v>
      </c>
      <c r="H6" s="16">
        <v>17</v>
      </c>
      <c r="I6" s="16">
        <v>15</v>
      </c>
      <c r="J6" s="16">
        <v>16</v>
      </c>
      <c r="K6" s="16">
        <v>14</v>
      </c>
      <c r="L6" s="16">
        <v>16</v>
      </c>
      <c r="M6" s="16">
        <v>12</v>
      </c>
      <c r="N6" s="16">
        <v>12</v>
      </c>
      <c r="O6" s="16">
        <v>15</v>
      </c>
      <c r="P6" s="16">
        <v>19</v>
      </c>
      <c r="Q6" s="16">
        <v>12</v>
      </c>
    </row>
    <row r="7" spans="1:18" ht="15.75" customHeight="1" x14ac:dyDescent="0.2">
      <c r="A7" s="12" t="s">
        <v>43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1:18" ht="15.75" customHeight="1" x14ac:dyDescent="0.2">
      <c r="A8" s="12" t="s">
        <v>44</v>
      </c>
      <c r="B8" s="15">
        <v>14</v>
      </c>
      <c r="C8" s="16">
        <v>15</v>
      </c>
      <c r="D8" s="16">
        <v>16</v>
      </c>
      <c r="E8" s="16">
        <v>13</v>
      </c>
      <c r="F8" s="16">
        <v>12</v>
      </c>
      <c r="G8" s="16">
        <v>11</v>
      </c>
      <c r="H8" s="16">
        <v>17</v>
      </c>
      <c r="I8" s="16">
        <v>18</v>
      </c>
      <c r="J8" s="16">
        <v>19</v>
      </c>
      <c r="K8" s="16">
        <v>20</v>
      </c>
      <c r="L8" s="16">
        <v>14</v>
      </c>
      <c r="M8" s="19"/>
      <c r="N8" s="19"/>
      <c r="O8" s="19"/>
      <c r="P8" s="19"/>
      <c r="Q8" s="19"/>
    </row>
    <row r="9" spans="1:18" ht="21.75" customHeight="1" x14ac:dyDescent="0.2">
      <c r="A9" s="20" t="s">
        <v>45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21"/>
      <c r="N9" s="21"/>
      <c r="O9" s="21"/>
      <c r="P9" s="21"/>
      <c r="Q9" s="19"/>
    </row>
    <row r="10" spans="1:18" ht="30.75" customHeight="1" x14ac:dyDescent="0.2">
      <c r="A10" s="20" t="s">
        <v>46</v>
      </c>
      <c r="B10" s="292"/>
      <c r="C10" s="293"/>
      <c r="D10" s="293"/>
      <c r="E10" s="293"/>
      <c r="F10" s="293"/>
    </row>
    <row r="11" spans="1:18" ht="21.75" customHeight="1" x14ac:dyDescent="0.2">
      <c r="A11" s="20" t="s">
        <v>47</v>
      </c>
      <c r="B11" s="297"/>
      <c r="C11" s="298"/>
      <c r="D11" s="298"/>
      <c r="E11" s="298"/>
      <c r="F11" s="298"/>
      <c r="Q11" s="1"/>
    </row>
    <row r="12" spans="1:18" ht="21.75" customHeight="1" x14ac:dyDescent="0.2">
      <c r="A12" s="20" t="s">
        <v>48</v>
      </c>
      <c r="B12" s="299"/>
      <c r="C12" s="300"/>
      <c r="D12" s="300"/>
      <c r="E12" s="300"/>
      <c r="F12" s="300"/>
      <c r="O12" s="1"/>
      <c r="P12" s="1"/>
      <c r="Q12" s="1"/>
    </row>
    <row r="13" spans="1:18" x14ac:dyDescent="0.2">
      <c r="P13" s="1"/>
      <c r="Q13" s="1"/>
    </row>
    <row r="14" spans="1:18" x14ac:dyDescent="0.2">
      <c r="P14" s="1"/>
      <c r="Q14" s="1"/>
    </row>
    <row r="15" spans="1:18" x14ac:dyDescent="0.2">
      <c r="P15" s="1"/>
      <c r="Q15" s="1"/>
    </row>
    <row r="16" spans="1:18" x14ac:dyDescent="0.2">
      <c r="A16" s="301" t="s">
        <v>45</v>
      </c>
      <c r="B16" s="301"/>
      <c r="C16" s="302" t="s">
        <v>49</v>
      </c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4"/>
    </row>
    <row r="17" spans="1:17" ht="27.75" customHeight="1" x14ac:dyDescent="0.2">
      <c r="A17" s="294" t="s">
        <v>47</v>
      </c>
      <c r="B17" s="294"/>
      <c r="C17" s="305" t="s">
        <v>50</v>
      </c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</row>
    <row r="18" spans="1:17" ht="24.75" customHeight="1" x14ac:dyDescent="0.2">
      <c r="A18" s="294" t="s">
        <v>51</v>
      </c>
      <c r="B18" s="294"/>
      <c r="C18" s="295" t="s">
        <v>52</v>
      </c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</row>
    <row r="19" spans="1:17" ht="72.75" customHeight="1" x14ac:dyDescent="0.2">
      <c r="A19" s="294" t="s">
        <v>53</v>
      </c>
      <c r="B19" s="294"/>
      <c r="C19" s="296" t="s">
        <v>54</v>
      </c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</row>
  </sheetData>
  <mergeCells count="26">
    <mergeCell ref="A1:Q1"/>
    <mergeCell ref="A2:A3"/>
    <mergeCell ref="B2:B3"/>
    <mergeCell ref="C2:D2"/>
    <mergeCell ref="E2:F2"/>
    <mergeCell ref="G2:G3"/>
    <mergeCell ref="H2:H3"/>
    <mergeCell ref="I2:I3"/>
    <mergeCell ref="J2:J3"/>
    <mergeCell ref="K2:K3"/>
    <mergeCell ref="L2:L3"/>
    <mergeCell ref="M2:M3"/>
    <mergeCell ref="N2:N3"/>
    <mergeCell ref="O2:P2"/>
    <mergeCell ref="Q2:Q3"/>
    <mergeCell ref="B10:F10"/>
    <mergeCell ref="A18:B18"/>
    <mergeCell ref="C18:Q18"/>
    <mergeCell ref="A19:B19"/>
    <mergeCell ref="C19:Q19"/>
    <mergeCell ref="B11:F11"/>
    <mergeCell ref="B12:F12"/>
    <mergeCell ref="A16:B16"/>
    <mergeCell ref="C16:Q16"/>
    <mergeCell ref="A17:B17"/>
    <mergeCell ref="C17:Q17"/>
  </mergeCells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2049" r:id="rId4">
          <objectPr defaultSize="0" autoPict="0" r:id="rId5">
            <anchor moveWithCells="1">
              <from>
                <xdr:col>6</xdr:col>
                <xdr:colOff>19050</xdr:colOff>
                <xdr:row>9</xdr:row>
                <xdr:rowOff>9525</xdr:rowOff>
              </from>
              <to>
                <xdr:col>18</xdr:col>
                <xdr:colOff>257175</xdr:colOff>
                <xdr:row>13</xdr:row>
                <xdr:rowOff>104775</xdr:rowOff>
              </to>
            </anchor>
          </objectPr>
        </oleObject>
      </mc:Choice>
      <mc:Fallback>
        <oleObject progId="Paint.Picture" shapeId="204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C8C5-F802-487E-B133-9B3BC874BD8C}">
  <dimension ref="A1:I11"/>
  <sheetViews>
    <sheetView zoomScale="75" workbookViewId="0">
      <selection activeCell="S3" sqref="S3"/>
    </sheetView>
  </sheetViews>
  <sheetFormatPr defaultRowHeight="12.75" x14ac:dyDescent="0.2"/>
  <cols>
    <col min="1" max="1" width="4.7109375" style="1" bestFit="1" customWidth="1"/>
    <col min="2" max="3" width="3.42578125" style="1" bestFit="1" customWidth="1"/>
    <col min="4" max="4" width="4.7109375" style="1" bestFit="1" customWidth="1"/>
    <col min="5" max="6" width="9.28515625" style="1" bestFit="1" customWidth="1"/>
    <col min="7" max="7" width="17.5703125" style="1" customWidth="1"/>
    <col min="8" max="8" width="9.28515625" style="1" bestFit="1" customWidth="1"/>
    <col min="9" max="9" width="17.85546875" style="1" customWidth="1"/>
  </cols>
  <sheetData>
    <row r="1" spans="1:9" ht="38.25" customHeight="1" x14ac:dyDescent="0.25">
      <c r="A1" s="45" t="s">
        <v>100</v>
      </c>
      <c r="B1" s="45" t="s">
        <v>101</v>
      </c>
      <c r="C1" s="45" t="s">
        <v>102</v>
      </c>
      <c r="D1" s="45" t="s">
        <v>103</v>
      </c>
      <c r="E1" s="45" t="s">
        <v>104</v>
      </c>
      <c r="F1" s="45" t="s">
        <v>105</v>
      </c>
      <c r="G1" s="46" t="s">
        <v>106</v>
      </c>
      <c r="H1" s="312" t="s">
        <v>107</v>
      </c>
      <c r="I1" s="312"/>
    </row>
    <row r="2" spans="1:9" ht="18" x14ac:dyDescent="0.25">
      <c r="A2" s="47"/>
      <c r="B2" s="47"/>
      <c r="C2" s="47"/>
      <c r="D2" s="47"/>
      <c r="E2" s="48">
        <v>2005</v>
      </c>
      <c r="F2" s="47"/>
      <c r="G2" s="47"/>
      <c r="H2" s="49"/>
      <c r="I2" s="49"/>
    </row>
    <row r="3" spans="1:9" ht="18" x14ac:dyDescent="0.25">
      <c r="A3" s="50"/>
      <c r="B3" s="50"/>
      <c r="C3" s="50"/>
      <c r="D3" s="50"/>
      <c r="E3" s="51">
        <v>2006</v>
      </c>
      <c r="F3" s="50"/>
      <c r="G3" s="50"/>
      <c r="H3" s="52"/>
      <c r="I3" s="52"/>
    </row>
    <row r="4" spans="1:9" ht="18" x14ac:dyDescent="0.25">
      <c r="A4" s="50"/>
      <c r="B4" s="50"/>
      <c r="C4" s="50"/>
      <c r="D4" s="50"/>
      <c r="E4" s="48">
        <v>2007</v>
      </c>
      <c r="F4" s="50"/>
      <c r="G4" s="50"/>
      <c r="H4" s="52"/>
      <c r="I4" s="52"/>
    </row>
    <row r="5" spans="1:9" ht="18" x14ac:dyDescent="0.25">
      <c r="A5" s="50"/>
      <c r="B5" s="50"/>
      <c r="C5" s="50"/>
      <c r="D5" s="50"/>
      <c r="E5" s="51">
        <v>2008</v>
      </c>
      <c r="F5" s="50"/>
      <c r="G5" s="50"/>
      <c r="H5" s="52"/>
      <c r="I5" s="52"/>
    </row>
    <row r="6" spans="1:9" ht="18" x14ac:dyDescent="0.25">
      <c r="A6" s="50"/>
      <c r="B6" s="50"/>
      <c r="C6" s="50"/>
      <c r="D6" s="50"/>
      <c r="E6" s="48">
        <v>2009</v>
      </c>
      <c r="F6" s="50"/>
      <c r="G6" s="50"/>
      <c r="H6" s="52"/>
      <c r="I6" s="52"/>
    </row>
    <row r="7" spans="1:9" ht="18" x14ac:dyDescent="0.25">
      <c r="A7" s="50"/>
      <c r="B7" s="50"/>
      <c r="C7" s="50"/>
      <c r="D7" s="50"/>
      <c r="E7" s="51">
        <v>2010</v>
      </c>
      <c r="F7" s="50"/>
      <c r="G7" s="50"/>
      <c r="H7" s="52"/>
      <c r="I7" s="52"/>
    </row>
    <row r="8" spans="1:9" ht="18" x14ac:dyDescent="0.25">
      <c r="A8" s="50"/>
      <c r="B8" s="50"/>
      <c r="C8" s="50"/>
      <c r="D8" s="50"/>
      <c r="E8" s="48">
        <v>2011</v>
      </c>
      <c r="F8" s="50"/>
      <c r="G8" s="50"/>
      <c r="H8" s="52"/>
      <c r="I8" s="52"/>
    </row>
    <row r="9" spans="1:9" ht="18" x14ac:dyDescent="0.25">
      <c r="A9" s="50"/>
      <c r="B9" s="50"/>
      <c r="C9" s="50"/>
      <c r="D9" s="50"/>
      <c r="E9" s="51">
        <v>2012</v>
      </c>
      <c r="F9" s="50"/>
      <c r="G9" s="50"/>
      <c r="H9" s="52"/>
      <c r="I9" s="52"/>
    </row>
    <row r="10" spans="1:9" ht="18" x14ac:dyDescent="0.25">
      <c r="A10" s="50"/>
      <c r="B10" s="50"/>
      <c r="C10" s="50"/>
      <c r="D10" s="50"/>
      <c r="E10" s="48">
        <v>2013</v>
      </c>
      <c r="F10" s="50"/>
      <c r="G10" s="50"/>
      <c r="H10" s="52"/>
      <c r="I10" s="52"/>
    </row>
    <row r="11" spans="1:9" ht="18" x14ac:dyDescent="0.25">
      <c r="A11" s="50"/>
      <c r="B11" s="50"/>
      <c r="C11" s="50"/>
      <c r="D11" s="50"/>
      <c r="E11" s="51">
        <v>2014</v>
      </c>
      <c r="F11" s="50"/>
      <c r="G11" s="50"/>
      <c r="H11" s="52"/>
      <c r="I11" s="52"/>
    </row>
  </sheetData>
  <mergeCells count="1">
    <mergeCell ref="H1:I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6CE0-3717-4E6B-9627-11AB0DDE0EE4}">
  <sheetPr>
    <pageSetUpPr fitToPage="1"/>
  </sheetPr>
  <dimension ref="A1:H14"/>
  <sheetViews>
    <sheetView topLeftCell="A3" workbookViewId="0">
      <selection activeCell="H9" sqref="H9"/>
    </sheetView>
  </sheetViews>
  <sheetFormatPr defaultRowHeight="15" x14ac:dyDescent="0.25"/>
  <cols>
    <col min="1" max="1" width="9.140625" style="148"/>
    <col min="2" max="2" width="19.28515625" style="148" bestFit="1" customWidth="1"/>
    <col min="3" max="3" width="15.85546875" style="148" bestFit="1" customWidth="1"/>
    <col min="4" max="4" width="24.42578125" style="148" bestFit="1" customWidth="1"/>
    <col min="5" max="5" width="55.140625" style="148" bestFit="1" customWidth="1"/>
    <col min="6" max="6" width="38.7109375" style="148" customWidth="1"/>
    <col min="7" max="16384" width="9.140625" style="148"/>
  </cols>
  <sheetData>
    <row r="1" spans="1:8" ht="18" x14ac:dyDescent="0.25">
      <c r="A1" s="160" t="s">
        <v>494</v>
      </c>
      <c r="E1" s="161" t="s">
        <v>463</v>
      </c>
    </row>
    <row r="4" spans="1:8" x14ac:dyDescent="0.25">
      <c r="F4" s="237"/>
    </row>
    <row r="5" spans="1:8" x14ac:dyDescent="0.25">
      <c r="A5" s="162"/>
      <c r="B5" s="163" t="s">
        <v>495</v>
      </c>
      <c r="C5" s="151" t="s">
        <v>496</v>
      </c>
      <c r="D5" s="151" t="s">
        <v>497</v>
      </c>
      <c r="E5" s="164" t="s">
        <v>498</v>
      </c>
      <c r="F5" s="238" t="s">
        <v>499</v>
      </c>
    </row>
    <row r="6" spans="1:8" ht="45" x14ac:dyDescent="0.25">
      <c r="B6" s="165">
        <v>18</v>
      </c>
      <c r="C6" s="165">
        <v>15</v>
      </c>
      <c r="D6" s="166"/>
      <c r="E6" s="167" t="s">
        <v>500</v>
      </c>
      <c r="F6" s="239" t="s">
        <v>501</v>
      </c>
      <c r="G6" s="153"/>
      <c r="H6" s="159"/>
    </row>
    <row r="7" spans="1:8" ht="45" x14ac:dyDescent="0.25">
      <c r="B7" s="165">
        <v>15</v>
      </c>
      <c r="C7" s="165">
        <v>18</v>
      </c>
      <c r="D7" s="166"/>
      <c r="E7" s="167" t="s">
        <v>502</v>
      </c>
      <c r="F7" s="239" t="s">
        <v>503</v>
      </c>
    </row>
    <row r="8" spans="1:8" x14ac:dyDescent="0.25">
      <c r="F8" s="237"/>
    </row>
    <row r="9" spans="1:8" ht="45" customHeight="1" x14ac:dyDescent="0.25">
      <c r="B9" s="148">
        <v>18</v>
      </c>
      <c r="C9" s="148">
        <v>15</v>
      </c>
      <c r="E9" s="313" t="s">
        <v>504</v>
      </c>
      <c r="F9" s="240" t="s">
        <v>505</v>
      </c>
    </row>
    <row r="10" spans="1:8" ht="45" customHeight="1" x14ac:dyDescent="0.25">
      <c r="B10" s="148">
        <v>15</v>
      </c>
      <c r="C10" s="148">
        <v>18</v>
      </c>
      <c r="E10" s="313"/>
      <c r="F10" s="168" t="s">
        <v>506</v>
      </c>
    </row>
    <row r="14" spans="1:8" ht="15.75" x14ac:dyDescent="0.3">
      <c r="A14" s="264"/>
      <c r="B14" s="264"/>
      <c r="C14" s="264"/>
    </row>
  </sheetData>
  <mergeCells count="2">
    <mergeCell ref="E9:E10"/>
    <mergeCell ref="A14:C14"/>
  </mergeCells>
  <pageMargins left="0.70866141732283472" right="0.70866141732283472" top="0.74803149606299213" bottom="0.74803149606299213" header="0.31496062992125984" footer="0.31496062992125984"/>
  <pageSetup paperSize="9" scale="54" orientation="portrait" horizont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A2B3-2420-4541-8EC1-CD17D7E7DC40}">
  <dimension ref="A1:CT33"/>
  <sheetViews>
    <sheetView zoomScale="85" workbookViewId="0">
      <selection activeCell="BP27" sqref="BP27"/>
    </sheetView>
  </sheetViews>
  <sheetFormatPr defaultColWidth="1.7109375" defaultRowHeight="12.75" x14ac:dyDescent="0.2"/>
  <cols>
    <col min="1" max="1" width="2.140625" bestFit="1" customWidth="1"/>
    <col min="2" max="2" width="6.28515625" bestFit="1" customWidth="1"/>
    <col min="3" max="5" width="2.140625" bestFit="1" customWidth="1"/>
    <col min="6" max="14" width="2.5703125" bestFit="1" customWidth="1"/>
    <col min="15" max="15" width="2.42578125" customWidth="1"/>
    <col min="16" max="16" width="2.5703125" bestFit="1" customWidth="1"/>
    <col min="17" max="17" width="6.28515625" bestFit="1" customWidth="1"/>
    <col min="18" max="29" width="2" bestFit="1" customWidth="1"/>
    <col min="30" max="30" width="2.28515625" customWidth="1"/>
    <col min="31" max="31" width="2.5703125" bestFit="1" customWidth="1"/>
    <col min="32" max="32" width="6.28515625" bestFit="1" customWidth="1"/>
    <col min="33" max="35" width="3.5703125" bestFit="1" customWidth="1"/>
    <col min="37" max="37" width="3.28515625" customWidth="1"/>
    <col min="38" max="38" width="2.7109375" customWidth="1"/>
  </cols>
  <sheetData>
    <row r="1" spans="1:98" ht="23.25" x14ac:dyDescent="0.35">
      <c r="C1" s="362" t="s">
        <v>0</v>
      </c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BE1" s="361" t="s">
        <v>803</v>
      </c>
      <c r="BF1" s="361"/>
      <c r="BG1" s="361"/>
      <c r="BH1" s="361"/>
      <c r="BI1" s="361"/>
      <c r="BJ1" s="361"/>
      <c r="BK1" s="361"/>
      <c r="BL1" s="361"/>
      <c r="BM1" s="361"/>
      <c r="BN1" s="361"/>
      <c r="BO1" s="361"/>
      <c r="BP1" s="361"/>
      <c r="BQ1" s="361"/>
      <c r="BR1" s="361"/>
      <c r="BS1" s="361"/>
      <c r="BT1" s="361"/>
      <c r="BU1" s="361"/>
      <c r="BV1" s="361"/>
      <c r="BW1" s="361"/>
      <c r="BX1" s="361"/>
      <c r="BY1" s="361"/>
      <c r="BZ1" s="361"/>
      <c r="CA1" s="361"/>
      <c r="CB1" s="361"/>
      <c r="CC1" s="361"/>
      <c r="CD1" s="361"/>
      <c r="CE1" s="361"/>
      <c r="CF1" s="361"/>
      <c r="CG1" s="361"/>
      <c r="CH1" s="361"/>
      <c r="CI1" s="361"/>
      <c r="CJ1" s="361"/>
      <c r="CK1" s="361"/>
      <c r="CL1" s="361"/>
      <c r="CM1" s="361"/>
      <c r="CN1" s="361"/>
      <c r="CO1" s="361"/>
      <c r="CP1" s="361"/>
      <c r="CQ1" s="361"/>
      <c r="CR1" s="361"/>
      <c r="CS1" s="361"/>
      <c r="CT1" s="361"/>
    </row>
    <row r="3" spans="1:98" x14ac:dyDescent="0.2">
      <c r="AG3" s="363" t="s">
        <v>1</v>
      </c>
      <c r="AH3" s="363"/>
      <c r="AI3" s="363"/>
    </row>
    <row r="4" spans="1:98" ht="12.75" customHeight="1" x14ac:dyDescent="0.2">
      <c r="C4" s="363" t="s">
        <v>2</v>
      </c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R4" s="363" t="s">
        <v>3</v>
      </c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G4" s="364" t="s">
        <v>4</v>
      </c>
      <c r="AH4" s="366" t="s">
        <v>5</v>
      </c>
      <c r="AI4" s="368" t="s">
        <v>6</v>
      </c>
    </row>
    <row r="5" spans="1:98" x14ac:dyDescent="0.2">
      <c r="A5" s="1"/>
      <c r="B5" s="1"/>
      <c r="C5" s="358">
        <v>1</v>
      </c>
      <c r="D5" s="358"/>
      <c r="E5" s="358">
        <v>2</v>
      </c>
      <c r="F5" s="358"/>
      <c r="G5" s="358">
        <v>3</v>
      </c>
      <c r="H5" s="358"/>
      <c r="I5" s="358">
        <v>4</v>
      </c>
      <c r="J5" s="358"/>
      <c r="K5" s="358">
        <v>5</v>
      </c>
      <c r="L5" s="358"/>
      <c r="M5" s="358">
        <v>6</v>
      </c>
      <c r="N5" s="358"/>
      <c r="P5" s="1"/>
      <c r="Q5" s="1"/>
      <c r="R5" s="358">
        <v>1</v>
      </c>
      <c r="S5" s="358"/>
      <c r="T5" s="358">
        <v>2</v>
      </c>
      <c r="U5" s="358"/>
      <c r="V5" s="358">
        <v>3</v>
      </c>
      <c r="W5" s="358"/>
      <c r="X5" s="358">
        <v>4</v>
      </c>
      <c r="Y5" s="358"/>
      <c r="Z5" s="358">
        <v>5</v>
      </c>
      <c r="AA5" s="358"/>
      <c r="AB5" s="358">
        <v>6</v>
      </c>
      <c r="AC5" s="358"/>
      <c r="AG5" s="365"/>
      <c r="AH5" s="367"/>
      <c r="AI5" s="368"/>
      <c r="AM5" s="358">
        <v>1</v>
      </c>
      <c r="AN5" s="358"/>
      <c r="AO5" s="358">
        <v>2</v>
      </c>
      <c r="AP5" s="358"/>
      <c r="AQ5" s="358">
        <v>3</v>
      </c>
      <c r="AR5" s="358"/>
      <c r="AS5" s="358">
        <v>4</v>
      </c>
      <c r="AT5" s="358"/>
      <c r="AU5" s="358">
        <v>5</v>
      </c>
      <c r="AV5" s="358"/>
      <c r="AW5" s="358">
        <v>6</v>
      </c>
      <c r="AX5" s="358"/>
    </row>
    <row r="6" spans="1:98" ht="33" customHeight="1" x14ac:dyDescent="0.2">
      <c r="A6" s="1"/>
      <c r="B6" s="1"/>
      <c r="C6" s="359" t="s">
        <v>7</v>
      </c>
      <c r="D6" s="359"/>
      <c r="E6" s="359" t="s">
        <v>8</v>
      </c>
      <c r="F6" s="359"/>
      <c r="G6" s="359" t="s">
        <v>9</v>
      </c>
      <c r="H6" s="359"/>
      <c r="I6" s="359" t="s">
        <v>10</v>
      </c>
      <c r="J6" s="359"/>
      <c r="K6" s="359" t="s">
        <v>11</v>
      </c>
      <c r="L6" s="359"/>
      <c r="M6" s="360" t="s">
        <v>12</v>
      </c>
      <c r="N6" s="360"/>
      <c r="P6" s="1"/>
      <c r="Q6" s="1"/>
      <c r="R6" s="359" t="s">
        <v>7</v>
      </c>
      <c r="S6" s="359"/>
      <c r="T6" s="359" t="s">
        <v>8</v>
      </c>
      <c r="U6" s="359"/>
      <c r="V6" s="359" t="s">
        <v>9</v>
      </c>
      <c r="W6" s="359"/>
      <c r="X6" s="359" t="s">
        <v>10</v>
      </c>
      <c r="Y6" s="359"/>
      <c r="Z6" s="359" t="s">
        <v>11</v>
      </c>
      <c r="AA6" s="359"/>
      <c r="AB6" s="360" t="s">
        <v>12</v>
      </c>
      <c r="AC6" s="360"/>
      <c r="AG6" s="365"/>
      <c r="AH6" s="367"/>
      <c r="AI6" s="369"/>
      <c r="AM6" s="359" t="s">
        <v>7</v>
      </c>
      <c r="AN6" s="359"/>
      <c r="AO6" s="359" t="s">
        <v>8</v>
      </c>
      <c r="AP6" s="359"/>
      <c r="AQ6" s="359" t="s">
        <v>9</v>
      </c>
      <c r="AR6" s="359"/>
      <c r="AS6" s="359" t="s">
        <v>10</v>
      </c>
      <c r="AT6" s="359"/>
      <c r="AU6" s="359" t="s">
        <v>11</v>
      </c>
      <c r="AV6" s="359"/>
      <c r="AW6" s="360" t="s">
        <v>12</v>
      </c>
      <c r="AX6" s="360"/>
    </row>
    <row r="7" spans="1:98" x14ac:dyDescent="0.2">
      <c r="A7" s="327">
        <v>1</v>
      </c>
      <c r="B7" s="327" t="s">
        <v>7</v>
      </c>
      <c r="C7" s="355"/>
      <c r="D7" s="356"/>
      <c r="E7" s="354">
        <v>3</v>
      </c>
      <c r="F7" s="354">
        <v>1</v>
      </c>
      <c r="G7" s="354">
        <v>4</v>
      </c>
      <c r="H7" s="354">
        <v>0</v>
      </c>
      <c r="I7" s="354">
        <v>2</v>
      </c>
      <c r="J7" s="354">
        <v>0</v>
      </c>
      <c r="K7" s="354">
        <v>3</v>
      </c>
      <c r="L7" s="354">
        <v>2</v>
      </c>
      <c r="M7" s="354">
        <v>1</v>
      </c>
      <c r="N7" s="354">
        <v>1</v>
      </c>
      <c r="P7" s="327">
        <v>1</v>
      </c>
      <c r="Q7" s="327" t="s">
        <v>7</v>
      </c>
      <c r="R7" s="355"/>
      <c r="S7" s="356"/>
      <c r="T7" s="351"/>
      <c r="U7" s="352"/>
      <c r="V7" s="351"/>
      <c r="W7" s="352"/>
      <c r="X7" s="351"/>
      <c r="Y7" s="352"/>
      <c r="Z7" s="351"/>
      <c r="AA7" s="352"/>
      <c r="AB7" s="351"/>
      <c r="AC7" s="352"/>
      <c r="AE7" s="327">
        <v>1</v>
      </c>
      <c r="AF7" s="327" t="s">
        <v>7</v>
      </c>
      <c r="AG7" s="331"/>
      <c r="AH7" s="333"/>
      <c r="AI7" s="335"/>
      <c r="AK7" s="353" t="s">
        <v>13</v>
      </c>
      <c r="AL7" s="348" t="s">
        <v>14</v>
      </c>
      <c r="AM7" s="345"/>
      <c r="AN7" s="346"/>
      <c r="AO7" s="345"/>
      <c r="AP7" s="346"/>
      <c r="AQ7" s="345"/>
      <c r="AR7" s="346"/>
      <c r="AS7" s="345"/>
      <c r="AT7" s="346"/>
      <c r="AU7" s="345"/>
      <c r="AV7" s="346"/>
      <c r="AW7" s="345"/>
      <c r="AX7" s="346"/>
    </row>
    <row r="8" spans="1:98" x14ac:dyDescent="0.2">
      <c r="A8" s="327"/>
      <c r="B8" s="327"/>
      <c r="C8" s="357"/>
      <c r="D8" s="326"/>
      <c r="E8" s="338"/>
      <c r="F8" s="338"/>
      <c r="G8" s="338"/>
      <c r="H8" s="338"/>
      <c r="I8" s="338"/>
      <c r="J8" s="338"/>
      <c r="K8" s="338"/>
      <c r="L8" s="338"/>
      <c r="M8" s="338"/>
      <c r="N8" s="338"/>
      <c r="P8" s="327"/>
      <c r="Q8" s="327"/>
      <c r="R8" s="357"/>
      <c r="S8" s="326"/>
      <c r="T8" s="321"/>
      <c r="U8" s="322"/>
      <c r="V8" s="321"/>
      <c r="W8" s="322"/>
      <c r="X8" s="321"/>
      <c r="Y8" s="322"/>
      <c r="Z8" s="321"/>
      <c r="AA8" s="322"/>
      <c r="AB8" s="321"/>
      <c r="AC8" s="322"/>
      <c r="AE8" s="327"/>
      <c r="AF8" s="327"/>
      <c r="AG8" s="332"/>
      <c r="AH8" s="334"/>
      <c r="AI8" s="336"/>
      <c r="AK8" s="353"/>
      <c r="AL8" s="349"/>
      <c r="AM8" s="347"/>
      <c r="AN8" s="332"/>
      <c r="AO8" s="347"/>
      <c r="AP8" s="332"/>
      <c r="AQ8" s="347"/>
      <c r="AR8" s="332"/>
      <c r="AS8" s="347"/>
      <c r="AT8" s="332"/>
      <c r="AU8" s="347"/>
      <c r="AV8" s="332"/>
      <c r="AW8" s="347"/>
      <c r="AX8" s="332"/>
    </row>
    <row r="9" spans="1:98" x14ac:dyDescent="0.2">
      <c r="A9" s="327">
        <v>2</v>
      </c>
      <c r="B9" s="327" t="s">
        <v>8</v>
      </c>
      <c r="C9" s="320">
        <v>0</v>
      </c>
      <c r="D9" s="337">
        <v>2</v>
      </c>
      <c r="E9" s="323"/>
      <c r="F9" s="324"/>
      <c r="G9" s="337">
        <v>1</v>
      </c>
      <c r="H9" s="337">
        <v>1</v>
      </c>
      <c r="I9" s="337">
        <v>5</v>
      </c>
      <c r="J9" s="337">
        <v>0</v>
      </c>
      <c r="K9" s="337">
        <v>2</v>
      </c>
      <c r="L9" s="337">
        <v>1</v>
      </c>
      <c r="M9" s="337">
        <v>2</v>
      </c>
      <c r="N9" s="337">
        <v>2</v>
      </c>
      <c r="P9" s="327">
        <v>2</v>
      </c>
      <c r="Q9" s="327" t="s">
        <v>8</v>
      </c>
      <c r="R9" s="329"/>
      <c r="S9" s="320"/>
      <c r="T9" s="323"/>
      <c r="U9" s="324"/>
      <c r="V9" s="319"/>
      <c r="W9" s="320"/>
      <c r="X9" s="319"/>
      <c r="Y9" s="320"/>
      <c r="Z9" s="319"/>
      <c r="AA9" s="320"/>
      <c r="AB9" s="319"/>
      <c r="AC9" s="320"/>
      <c r="AE9" s="327">
        <v>2</v>
      </c>
      <c r="AF9" s="327" t="s">
        <v>8</v>
      </c>
      <c r="AG9" s="331"/>
      <c r="AH9" s="333"/>
      <c r="AI9" s="335"/>
      <c r="AK9" s="353"/>
      <c r="AL9" s="350" t="s">
        <v>15</v>
      </c>
      <c r="AM9" s="341"/>
      <c r="AN9" s="342"/>
      <c r="AO9" s="341"/>
      <c r="AP9" s="342"/>
      <c r="AQ9" s="341"/>
      <c r="AR9" s="342"/>
      <c r="AS9" s="341"/>
      <c r="AT9" s="342"/>
      <c r="AU9" s="341"/>
      <c r="AV9" s="342"/>
      <c r="AW9" s="341"/>
      <c r="AX9" s="342"/>
    </row>
    <row r="10" spans="1:98" x14ac:dyDescent="0.2">
      <c r="A10" s="327"/>
      <c r="B10" s="327"/>
      <c r="C10" s="322"/>
      <c r="D10" s="338"/>
      <c r="E10" s="325"/>
      <c r="F10" s="326"/>
      <c r="G10" s="338"/>
      <c r="H10" s="338"/>
      <c r="I10" s="338"/>
      <c r="J10" s="338"/>
      <c r="K10" s="338"/>
      <c r="L10" s="338"/>
      <c r="M10" s="338"/>
      <c r="N10" s="338"/>
      <c r="P10" s="327"/>
      <c r="Q10" s="327"/>
      <c r="R10" s="330"/>
      <c r="S10" s="322"/>
      <c r="T10" s="325"/>
      <c r="U10" s="326"/>
      <c r="V10" s="321"/>
      <c r="W10" s="322"/>
      <c r="X10" s="321"/>
      <c r="Y10" s="322"/>
      <c r="Z10" s="321"/>
      <c r="AA10" s="322"/>
      <c r="AB10" s="321"/>
      <c r="AC10" s="322"/>
      <c r="AE10" s="327"/>
      <c r="AF10" s="327"/>
      <c r="AG10" s="332"/>
      <c r="AH10" s="334"/>
      <c r="AI10" s="336"/>
      <c r="AK10" s="353"/>
      <c r="AL10" s="350"/>
      <c r="AM10" s="343"/>
      <c r="AN10" s="344"/>
      <c r="AO10" s="343"/>
      <c r="AP10" s="344"/>
      <c r="AQ10" s="343"/>
      <c r="AR10" s="344"/>
      <c r="AS10" s="343"/>
      <c r="AT10" s="344"/>
      <c r="AU10" s="343"/>
      <c r="AV10" s="344"/>
      <c r="AW10" s="343"/>
      <c r="AX10" s="344"/>
    </row>
    <row r="11" spans="1:98" x14ac:dyDescent="0.2">
      <c r="A11" s="327">
        <v>3</v>
      </c>
      <c r="B11" s="327" t="s">
        <v>9</v>
      </c>
      <c r="C11" s="320">
        <v>1</v>
      </c>
      <c r="D11" s="337">
        <v>3</v>
      </c>
      <c r="E11" s="337">
        <v>0</v>
      </c>
      <c r="F11" s="337">
        <v>0</v>
      </c>
      <c r="G11" s="323"/>
      <c r="H11" s="324"/>
      <c r="I11" s="337">
        <v>2</v>
      </c>
      <c r="J11" s="337">
        <v>1</v>
      </c>
      <c r="K11" s="337">
        <v>2</v>
      </c>
      <c r="L11" s="337">
        <v>3</v>
      </c>
      <c r="M11" s="337">
        <v>4</v>
      </c>
      <c r="N11" s="337">
        <v>0</v>
      </c>
      <c r="P11" s="327">
        <v>3</v>
      </c>
      <c r="Q11" s="327" t="s">
        <v>9</v>
      </c>
      <c r="R11" s="329"/>
      <c r="S11" s="320"/>
      <c r="T11" s="319"/>
      <c r="U11" s="320"/>
      <c r="V11" s="323"/>
      <c r="W11" s="324"/>
      <c r="X11" s="319"/>
      <c r="Y11" s="320"/>
      <c r="Z11" s="319"/>
      <c r="AA11" s="320"/>
      <c r="AB11" s="319"/>
      <c r="AC11" s="320"/>
      <c r="AE11" s="327">
        <v>3</v>
      </c>
      <c r="AF11" s="327" t="s">
        <v>9</v>
      </c>
      <c r="AG11" s="331"/>
      <c r="AH11" s="333"/>
      <c r="AI11" s="335"/>
      <c r="AK11" s="353"/>
      <c r="AL11" s="339" t="s">
        <v>16</v>
      </c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0"/>
      <c r="AX11" s="340"/>
    </row>
    <row r="12" spans="1:98" x14ac:dyDescent="0.2">
      <c r="A12" s="327"/>
      <c r="B12" s="327"/>
      <c r="C12" s="322"/>
      <c r="D12" s="338"/>
      <c r="E12" s="338"/>
      <c r="F12" s="338"/>
      <c r="G12" s="325"/>
      <c r="H12" s="326"/>
      <c r="I12" s="338"/>
      <c r="J12" s="338"/>
      <c r="K12" s="338"/>
      <c r="L12" s="338"/>
      <c r="M12" s="338"/>
      <c r="N12" s="338"/>
      <c r="P12" s="327"/>
      <c r="Q12" s="327"/>
      <c r="R12" s="330"/>
      <c r="S12" s="322"/>
      <c r="T12" s="321"/>
      <c r="U12" s="322"/>
      <c r="V12" s="325"/>
      <c r="W12" s="326"/>
      <c r="X12" s="321"/>
      <c r="Y12" s="322"/>
      <c r="Z12" s="321"/>
      <c r="AA12" s="322"/>
      <c r="AB12" s="321"/>
      <c r="AC12" s="322"/>
      <c r="AE12" s="327"/>
      <c r="AF12" s="327"/>
      <c r="AG12" s="332"/>
      <c r="AH12" s="334"/>
      <c r="AI12" s="336"/>
      <c r="AK12" s="353"/>
      <c r="AL12" s="339"/>
      <c r="AM12" s="340"/>
      <c r="AN12" s="340"/>
      <c r="AO12" s="340"/>
      <c r="AP12" s="340"/>
      <c r="AQ12" s="340"/>
      <c r="AR12" s="340"/>
      <c r="AS12" s="340"/>
      <c r="AT12" s="340"/>
      <c r="AU12" s="340"/>
      <c r="AV12" s="340"/>
      <c r="AW12" s="340"/>
      <c r="AX12" s="340"/>
    </row>
    <row r="13" spans="1:98" x14ac:dyDescent="0.2">
      <c r="A13" s="327">
        <v>4</v>
      </c>
      <c r="B13" s="327" t="s">
        <v>10</v>
      </c>
      <c r="C13" s="320">
        <v>0</v>
      </c>
      <c r="D13" s="337">
        <v>1</v>
      </c>
      <c r="E13" s="337">
        <v>2</v>
      </c>
      <c r="F13" s="337">
        <v>2</v>
      </c>
      <c r="G13" s="337">
        <v>2</v>
      </c>
      <c r="H13" s="337">
        <v>1</v>
      </c>
      <c r="I13" s="323"/>
      <c r="J13" s="324"/>
      <c r="K13" s="337">
        <v>3</v>
      </c>
      <c r="L13" s="337">
        <v>3</v>
      </c>
      <c r="M13" s="337">
        <v>3</v>
      </c>
      <c r="N13" s="337">
        <v>2</v>
      </c>
      <c r="P13" s="327">
        <v>4</v>
      </c>
      <c r="Q13" s="327" t="s">
        <v>10</v>
      </c>
      <c r="R13" s="329"/>
      <c r="S13" s="320"/>
      <c r="T13" s="319"/>
      <c r="U13" s="320"/>
      <c r="V13" s="319"/>
      <c r="W13" s="320"/>
      <c r="X13" s="323"/>
      <c r="Y13" s="324"/>
      <c r="Z13" s="319"/>
      <c r="AA13" s="320"/>
      <c r="AB13" s="319"/>
      <c r="AC13" s="320"/>
      <c r="AE13" s="327">
        <v>4</v>
      </c>
      <c r="AF13" s="327" t="s">
        <v>10</v>
      </c>
      <c r="AG13" s="331"/>
      <c r="AH13" s="333"/>
      <c r="AI13" s="335"/>
    </row>
    <row r="14" spans="1:98" x14ac:dyDescent="0.2">
      <c r="A14" s="327"/>
      <c r="B14" s="327"/>
      <c r="C14" s="322"/>
      <c r="D14" s="338"/>
      <c r="E14" s="338"/>
      <c r="F14" s="338"/>
      <c r="G14" s="338"/>
      <c r="H14" s="338"/>
      <c r="I14" s="325"/>
      <c r="J14" s="326"/>
      <c r="K14" s="338"/>
      <c r="L14" s="338"/>
      <c r="M14" s="338"/>
      <c r="N14" s="338"/>
      <c r="P14" s="327"/>
      <c r="Q14" s="327"/>
      <c r="R14" s="330"/>
      <c r="S14" s="322"/>
      <c r="T14" s="321"/>
      <c r="U14" s="322"/>
      <c r="V14" s="321"/>
      <c r="W14" s="322"/>
      <c r="X14" s="325"/>
      <c r="Y14" s="326"/>
      <c r="Z14" s="321"/>
      <c r="AA14" s="322"/>
      <c r="AB14" s="321"/>
      <c r="AC14" s="322"/>
      <c r="AE14" s="327"/>
      <c r="AF14" s="327"/>
      <c r="AG14" s="332"/>
      <c r="AH14" s="334"/>
      <c r="AI14" s="336"/>
    </row>
    <row r="15" spans="1:98" x14ac:dyDescent="0.2">
      <c r="A15" s="327">
        <v>5</v>
      </c>
      <c r="B15" s="327" t="s">
        <v>11</v>
      </c>
      <c r="C15" s="320">
        <v>0</v>
      </c>
      <c r="D15" s="337">
        <v>0</v>
      </c>
      <c r="E15" s="337">
        <v>2</v>
      </c>
      <c r="F15" s="337">
        <v>1</v>
      </c>
      <c r="G15" s="337">
        <v>3</v>
      </c>
      <c r="H15" s="337">
        <v>3</v>
      </c>
      <c r="I15" s="337">
        <v>1</v>
      </c>
      <c r="J15" s="337">
        <v>2</v>
      </c>
      <c r="K15" s="323"/>
      <c r="L15" s="324"/>
      <c r="M15" s="337">
        <v>0</v>
      </c>
      <c r="N15" s="337">
        <v>0</v>
      </c>
      <c r="P15" s="327">
        <v>5</v>
      </c>
      <c r="Q15" s="327" t="s">
        <v>11</v>
      </c>
      <c r="R15" s="329"/>
      <c r="S15" s="320"/>
      <c r="T15" s="319"/>
      <c r="U15" s="320"/>
      <c r="V15" s="319"/>
      <c r="W15" s="320"/>
      <c r="X15" s="319"/>
      <c r="Y15" s="320"/>
      <c r="Z15" s="323"/>
      <c r="AA15" s="324"/>
      <c r="AB15" s="319"/>
      <c r="AC15" s="320"/>
      <c r="AE15" s="327">
        <v>5</v>
      </c>
      <c r="AF15" s="327" t="s">
        <v>11</v>
      </c>
      <c r="AG15" s="331"/>
      <c r="AH15" s="333"/>
      <c r="AI15" s="335"/>
    </row>
    <row r="16" spans="1:98" x14ac:dyDescent="0.2">
      <c r="A16" s="327"/>
      <c r="B16" s="327"/>
      <c r="C16" s="322"/>
      <c r="D16" s="338"/>
      <c r="E16" s="338"/>
      <c r="F16" s="338"/>
      <c r="G16" s="338"/>
      <c r="H16" s="338"/>
      <c r="I16" s="338"/>
      <c r="J16" s="338"/>
      <c r="K16" s="325"/>
      <c r="L16" s="326"/>
      <c r="M16" s="338"/>
      <c r="N16" s="338"/>
      <c r="P16" s="327"/>
      <c r="Q16" s="327"/>
      <c r="R16" s="330"/>
      <c r="S16" s="322"/>
      <c r="T16" s="321"/>
      <c r="U16" s="322"/>
      <c r="V16" s="321"/>
      <c r="W16" s="322"/>
      <c r="X16" s="321"/>
      <c r="Y16" s="322"/>
      <c r="Z16" s="325"/>
      <c r="AA16" s="326"/>
      <c r="AB16" s="321"/>
      <c r="AC16" s="322"/>
      <c r="AE16" s="327"/>
      <c r="AF16" s="327"/>
      <c r="AG16" s="332"/>
      <c r="AH16" s="334"/>
      <c r="AI16" s="336"/>
    </row>
    <row r="17" spans="1:45" x14ac:dyDescent="0.2">
      <c r="A17" s="327">
        <v>6</v>
      </c>
      <c r="B17" s="328" t="s">
        <v>12</v>
      </c>
      <c r="C17" s="320">
        <v>2</v>
      </c>
      <c r="D17" s="337">
        <v>1</v>
      </c>
      <c r="E17" s="337">
        <v>3</v>
      </c>
      <c r="F17" s="337">
        <v>2</v>
      </c>
      <c r="G17" s="337">
        <v>1</v>
      </c>
      <c r="H17" s="337">
        <v>1</v>
      </c>
      <c r="I17" s="337">
        <v>2</v>
      </c>
      <c r="J17" s="337">
        <v>3</v>
      </c>
      <c r="K17" s="337">
        <v>2</v>
      </c>
      <c r="L17" s="337">
        <v>2</v>
      </c>
      <c r="M17" s="323"/>
      <c r="N17" s="324"/>
      <c r="P17" s="327">
        <v>6</v>
      </c>
      <c r="Q17" s="328" t="s">
        <v>12</v>
      </c>
      <c r="R17" s="329"/>
      <c r="S17" s="320"/>
      <c r="T17" s="319"/>
      <c r="U17" s="320"/>
      <c r="V17" s="319"/>
      <c r="W17" s="320"/>
      <c r="X17" s="319"/>
      <c r="Y17" s="320"/>
      <c r="Z17" s="319"/>
      <c r="AA17" s="320"/>
      <c r="AB17" s="323"/>
      <c r="AC17" s="324"/>
      <c r="AE17" s="327">
        <v>6</v>
      </c>
      <c r="AF17" s="328" t="s">
        <v>12</v>
      </c>
      <c r="AG17" s="331"/>
      <c r="AH17" s="333"/>
      <c r="AI17" s="335"/>
    </row>
    <row r="18" spans="1:45" x14ac:dyDescent="0.2">
      <c r="A18" s="327">
        <v>6</v>
      </c>
      <c r="B18" s="328"/>
      <c r="C18" s="322"/>
      <c r="D18" s="338"/>
      <c r="E18" s="338"/>
      <c r="F18" s="338"/>
      <c r="G18" s="338"/>
      <c r="H18" s="338"/>
      <c r="I18" s="338"/>
      <c r="J18" s="338"/>
      <c r="K18" s="338"/>
      <c r="L18" s="338"/>
      <c r="M18" s="325"/>
      <c r="N18" s="326"/>
      <c r="P18" s="327">
        <v>6</v>
      </c>
      <c r="Q18" s="328"/>
      <c r="R18" s="330"/>
      <c r="S18" s="322"/>
      <c r="T18" s="321"/>
      <c r="U18" s="322"/>
      <c r="V18" s="321"/>
      <c r="W18" s="322"/>
      <c r="X18" s="321"/>
      <c r="Y18" s="322"/>
      <c r="Z18" s="321"/>
      <c r="AA18" s="322"/>
      <c r="AB18" s="325"/>
      <c r="AC18" s="326"/>
      <c r="AE18" s="327">
        <v>6</v>
      </c>
      <c r="AF18" s="328"/>
      <c r="AG18" s="332"/>
      <c r="AH18" s="334"/>
      <c r="AI18" s="336"/>
      <c r="AS18" s="4"/>
    </row>
    <row r="20" spans="1:45" x14ac:dyDescent="0.2">
      <c r="P20" s="318" t="s">
        <v>17</v>
      </c>
      <c r="Q20" s="318"/>
      <c r="R20" s="318"/>
      <c r="S20" s="318"/>
      <c r="T20" s="318"/>
    </row>
    <row r="21" spans="1:45" x14ac:dyDescent="0.2">
      <c r="B21" s="5"/>
      <c r="P21" s="318" t="s">
        <v>18</v>
      </c>
      <c r="Q21" s="318"/>
      <c r="R21" s="318"/>
      <c r="S21" s="318"/>
      <c r="T21" s="318"/>
      <c r="AQ21" s="6"/>
    </row>
    <row r="22" spans="1:45" x14ac:dyDescent="0.2">
      <c r="P22" s="314">
        <v>1</v>
      </c>
      <c r="Q22" s="314" t="s">
        <v>7</v>
      </c>
      <c r="R22" s="316"/>
      <c r="S22" s="316"/>
      <c r="T22" s="316"/>
    </row>
    <row r="23" spans="1:45" x14ac:dyDescent="0.2">
      <c r="P23" s="314"/>
      <c r="Q23" s="314"/>
      <c r="R23" s="316"/>
      <c r="S23" s="316"/>
      <c r="T23" s="316"/>
      <c r="Z23" s="7"/>
      <c r="AF23" s="5"/>
    </row>
    <row r="24" spans="1:45" x14ac:dyDescent="0.2">
      <c r="P24" s="314">
        <v>2</v>
      </c>
      <c r="Q24" s="314" t="s">
        <v>8</v>
      </c>
      <c r="R24" s="316"/>
      <c r="S24" s="316"/>
      <c r="T24" s="316"/>
      <c r="X24" s="5"/>
      <c r="AF24" s="317"/>
    </row>
    <row r="25" spans="1:45" x14ac:dyDescent="0.2">
      <c r="P25" s="314"/>
      <c r="Q25" s="314"/>
      <c r="R25" s="316"/>
      <c r="S25" s="316"/>
      <c r="T25" s="316"/>
      <c r="AF25" s="317"/>
    </row>
    <row r="26" spans="1:45" x14ac:dyDescent="0.2">
      <c r="P26" s="314">
        <v>3</v>
      </c>
      <c r="Q26" s="314" t="s">
        <v>9</v>
      </c>
      <c r="R26" s="316"/>
      <c r="S26" s="316"/>
      <c r="T26" s="316"/>
      <c r="AF26" s="317"/>
    </row>
    <row r="27" spans="1:45" x14ac:dyDescent="0.2">
      <c r="I27" s="5"/>
      <c r="P27" s="314"/>
      <c r="Q27" s="314"/>
      <c r="R27" s="316"/>
      <c r="S27" s="316"/>
      <c r="T27" s="316"/>
      <c r="AF27" s="317"/>
      <c r="AI27" s="5"/>
    </row>
    <row r="28" spans="1:45" x14ac:dyDescent="0.2">
      <c r="H28" s="8"/>
      <c r="P28" s="314">
        <v>4</v>
      </c>
      <c r="Q28" s="314" t="s">
        <v>10</v>
      </c>
      <c r="R28" s="316"/>
      <c r="S28" s="316"/>
      <c r="T28" s="316"/>
      <c r="AF28" s="317"/>
    </row>
    <row r="29" spans="1:45" x14ac:dyDescent="0.2">
      <c r="P29" s="314"/>
      <c r="Q29" s="314"/>
      <c r="R29" s="316"/>
      <c r="S29" s="316"/>
      <c r="T29" s="316"/>
      <c r="AF29" s="317"/>
    </row>
    <row r="30" spans="1:45" x14ac:dyDescent="0.2">
      <c r="P30" s="314">
        <v>5</v>
      </c>
      <c r="Q30" s="314" t="s">
        <v>11</v>
      </c>
      <c r="R30" s="316"/>
      <c r="S30" s="316"/>
      <c r="T30" s="316"/>
      <c r="AF30" s="317"/>
    </row>
    <row r="31" spans="1:45" x14ac:dyDescent="0.2">
      <c r="P31" s="314"/>
      <c r="Q31" s="314"/>
      <c r="R31" s="316"/>
      <c r="S31" s="316"/>
      <c r="T31" s="316"/>
      <c r="AF31" s="317"/>
    </row>
    <row r="32" spans="1:45" x14ac:dyDescent="0.2">
      <c r="P32" s="314">
        <v>6</v>
      </c>
      <c r="Q32" s="315" t="s">
        <v>12</v>
      </c>
      <c r="R32" s="316"/>
      <c r="S32" s="316"/>
      <c r="T32" s="316"/>
    </row>
    <row r="33" spans="16:20" x14ac:dyDescent="0.2">
      <c r="P33" s="314">
        <v>6</v>
      </c>
      <c r="Q33" s="315"/>
      <c r="R33" s="316"/>
      <c r="S33" s="316"/>
      <c r="T33" s="316"/>
    </row>
  </sheetData>
  <mergeCells count="243">
    <mergeCell ref="BE1:CT1"/>
    <mergeCell ref="C1:AX1"/>
    <mergeCell ref="AG3:AI3"/>
    <mergeCell ref="C4:N4"/>
    <mergeCell ref="R4:AC4"/>
    <mergeCell ref="AG4:AG6"/>
    <mergeCell ref="AH4:AH6"/>
    <mergeCell ref="AI4:AI6"/>
    <mergeCell ref="C5:D5"/>
    <mergeCell ref="E5:F5"/>
    <mergeCell ref="G5:H5"/>
    <mergeCell ref="I5:J5"/>
    <mergeCell ref="K5:L5"/>
    <mergeCell ref="M5:N5"/>
    <mergeCell ref="R5:S5"/>
    <mergeCell ref="T5:U5"/>
    <mergeCell ref="V5:W5"/>
    <mergeCell ref="X5:Y5"/>
    <mergeCell ref="Z5:AA5"/>
    <mergeCell ref="AB5:AC5"/>
    <mergeCell ref="AM5:AN5"/>
    <mergeCell ref="AO5:AP5"/>
    <mergeCell ref="AQ5:AR5"/>
    <mergeCell ref="AS5:AT5"/>
    <mergeCell ref="AU5:AV5"/>
    <mergeCell ref="AW5:AX5"/>
    <mergeCell ref="C6:D6"/>
    <mergeCell ref="E6:F6"/>
    <mergeCell ref="G6:H6"/>
    <mergeCell ref="I6:J6"/>
    <mergeCell ref="K6:L6"/>
    <mergeCell ref="M6:N6"/>
    <mergeCell ref="R6:S6"/>
    <mergeCell ref="T6:U6"/>
    <mergeCell ref="V6:W6"/>
    <mergeCell ref="X6:Y6"/>
    <mergeCell ref="Z6:AA6"/>
    <mergeCell ref="AB6:AC6"/>
    <mergeCell ref="AM6:AN6"/>
    <mergeCell ref="AO6:AP6"/>
    <mergeCell ref="AQ6:AR6"/>
    <mergeCell ref="AS6:AT6"/>
    <mergeCell ref="AU6:AV6"/>
    <mergeCell ref="AW6:AX6"/>
    <mergeCell ref="A7:A8"/>
    <mergeCell ref="B7:B8"/>
    <mergeCell ref="C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P7:P8"/>
    <mergeCell ref="Q7:Q8"/>
    <mergeCell ref="R7:S8"/>
    <mergeCell ref="T7:U8"/>
    <mergeCell ref="V7:W8"/>
    <mergeCell ref="X7:Y8"/>
    <mergeCell ref="Z7:AA8"/>
    <mergeCell ref="AB7:AC8"/>
    <mergeCell ref="AE7:AE8"/>
    <mergeCell ref="AF7:AF8"/>
    <mergeCell ref="AG7:AG8"/>
    <mergeCell ref="AH7:AH8"/>
    <mergeCell ref="AI7:AI8"/>
    <mergeCell ref="AK7:AK12"/>
    <mergeCell ref="AE9:AE10"/>
    <mergeCell ref="AF9:AF10"/>
    <mergeCell ref="AE11:AE12"/>
    <mergeCell ref="AF11:AF12"/>
    <mergeCell ref="AG11:AG12"/>
    <mergeCell ref="AH11:AH12"/>
    <mergeCell ref="AI11:AI12"/>
    <mergeCell ref="AL7:AL8"/>
    <mergeCell ref="AM7:AN8"/>
    <mergeCell ref="AG9:AG10"/>
    <mergeCell ref="AH9:AH10"/>
    <mergeCell ref="AI9:AI10"/>
    <mergeCell ref="AL9:AL10"/>
    <mergeCell ref="AM9:AN10"/>
    <mergeCell ref="AO7:AP8"/>
    <mergeCell ref="AQ7:AR8"/>
    <mergeCell ref="AO9:AP10"/>
    <mergeCell ref="AQ9:AR10"/>
    <mergeCell ref="AS7:AT8"/>
    <mergeCell ref="AU7:AV8"/>
    <mergeCell ref="AW7:AX8"/>
    <mergeCell ref="A9:A10"/>
    <mergeCell ref="B9:B10"/>
    <mergeCell ref="C9:C10"/>
    <mergeCell ref="D9:D10"/>
    <mergeCell ref="E9:F10"/>
    <mergeCell ref="G9:G10"/>
    <mergeCell ref="H9:H10"/>
    <mergeCell ref="I9:I10"/>
    <mergeCell ref="J9:J10"/>
    <mergeCell ref="K9:K10"/>
    <mergeCell ref="L9:L10"/>
    <mergeCell ref="M9:M10"/>
    <mergeCell ref="N9:N10"/>
    <mergeCell ref="P9:P10"/>
    <mergeCell ref="Q9:Q10"/>
    <mergeCell ref="R9:S10"/>
    <mergeCell ref="T9:U10"/>
    <mergeCell ref="V9:W10"/>
    <mergeCell ref="X9:Y10"/>
    <mergeCell ref="Z9:AA10"/>
    <mergeCell ref="AB9:AC10"/>
    <mergeCell ref="AS9:AT10"/>
    <mergeCell ref="AU9:AV10"/>
    <mergeCell ref="AW9:AX10"/>
    <mergeCell ref="A11:A12"/>
    <mergeCell ref="B11:B12"/>
    <mergeCell ref="C11:C12"/>
    <mergeCell ref="D11:D12"/>
    <mergeCell ref="E11:E12"/>
    <mergeCell ref="F11:F12"/>
    <mergeCell ref="G11:H12"/>
    <mergeCell ref="I11:I12"/>
    <mergeCell ref="J11:J12"/>
    <mergeCell ref="K11:K12"/>
    <mergeCell ref="L11:L12"/>
    <mergeCell ref="M11:M12"/>
    <mergeCell ref="N11:N12"/>
    <mergeCell ref="P11:P12"/>
    <mergeCell ref="Q11:Q12"/>
    <mergeCell ref="R11:S12"/>
    <mergeCell ref="T11:U12"/>
    <mergeCell ref="V11:W12"/>
    <mergeCell ref="X11:Y12"/>
    <mergeCell ref="Z11:AA12"/>
    <mergeCell ref="AB11:AC12"/>
    <mergeCell ref="AL11:AL12"/>
    <mergeCell ref="AM11:AN12"/>
    <mergeCell ref="AO11:AP12"/>
    <mergeCell ref="AQ11:AR12"/>
    <mergeCell ref="AS11:AT12"/>
    <mergeCell ref="AU11:AV12"/>
    <mergeCell ref="AW11:AX12"/>
    <mergeCell ref="A13:A14"/>
    <mergeCell ref="B13:B14"/>
    <mergeCell ref="C13:C14"/>
    <mergeCell ref="D13:D14"/>
    <mergeCell ref="E13:E14"/>
    <mergeCell ref="F13:F14"/>
    <mergeCell ref="G13:G14"/>
    <mergeCell ref="H13:H14"/>
    <mergeCell ref="I13:J14"/>
    <mergeCell ref="K13:K14"/>
    <mergeCell ref="L13:L14"/>
    <mergeCell ref="M13:M14"/>
    <mergeCell ref="N13:N14"/>
    <mergeCell ref="P13:P14"/>
    <mergeCell ref="Q13:Q14"/>
    <mergeCell ref="R13:S14"/>
    <mergeCell ref="T13:U14"/>
    <mergeCell ref="V13:W14"/>
    <mergeCell ref="X13:Y14"/>
    <mergeCell ref="Z13:AA14"/>
    <mergeCell ref="AB13:AC14"/>
    <mergeCell ref="AE13:AE14"/>
    <mergeCell ref="AF13:AF14"/>
    <mergeCell ref="AG13:AG14"/>
    <mergeCell ref="AH13:AH14"/>
    <mergeCell ref="AI13:AI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L16"/>
    <mergeCell ref="M15:M16"/>
    <mergeCell ref="N15:N16"/>
    <mergeCell ref="P15:P16"/>
    <mergeCell ref="Q15:Q16"/>
    <mergeCell ref="R15:S16"/>
    <mergeCell ref="T15:U16"/>
    <mergeCell ref="V15:W16"/>
    <mergeCell ref="X15:Y16"/>
    <mergeCell ref="Z15:AA16"/>
    <mergeCell ref="AB15:AC16"/>
    <mergeCell ref="AE15:AE16"/>
    <mergeCell ref="AF15:AF16"/>
    <mergeCell ref="AG15:AG16"/>
    <mergeCell ref="AH15:AH16"/>
    <mergeCell ref="AI15:A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Z17:AA18"/>
    <mergeCell ref="AB17:AC18"/>
    <mergeCell ref="AE17:AE18"/>
    <mergeCell ref="AF17:AF18"/>
    <mergeCell ref="L17:L18"/>
    <mergeCell ref="M17:N18"/>
    <mergeCell ref="P17:P18"/>
    <mergeCell ref="Q17:Q18"/>
    <mergeCell ref="R17:S18"/>
    <mergeCell ref="T17:U18"/>
    <mergeCell ref="AG17:AG18"/>
    <mergeCell ref="AH17:AH18"/>
    <mergeCell ref="AI17:AI18"/>
    <mergeCell ref="P20:T20"/>
    <mergeCell ref="P21:T21"/>
    <mergeCell ref="P22:P23"/>
    <mergeCell ref="Q22:Q23"/>
    <mergeCell ref="R22:T23"/>
    <mergeCell ref="V17:W18"/>
    <mergeCell ref="X17:Y18"/>
    <mergeCell ref="P24:P25"/>
    <mergeCell ref="Q24:Q25"/>
    <mergeCell ref="R24:T25"/>
    <mergeCell ref="P32:P33"/>
    <mergeCell ref="Q32:Q33"/>
    <mergeCell ref="R32:T33"/>
    <mergeCell ref="AF24:AF31"/>
    <mergeCell ref="P26:P27"/>
    <mergeCell ref="Q26:Q27"/>
    <mergeCell ref="R26:T27"/>
    <mergeCell ref="P28:P29"/>
    <mergeCell ref="Q28:Q29"/>
    <mergeCell ref="R28:T29"/>
    <mergeCell ref="P30:P31"/>
    <mergeCell ref="Q30:Q31"/>
    <mergeCell ref="R30:T31"/>
  </mergeCells>
  <conditionalFormatting sqref="G27">
    <cfRule type="cellIs" dxfId="8" priority="4" stopIfTrue="1" operator="equal">
      <formula>"Ν"</formula>
    </cfRule>
    <cfRule type="cellIs" dxfId="7" priority="5" stopIfTrue="1" operator="equal">
      <formula>"Ι"</formula>
    </cfRule>
    <cfRule type="cellIs" dxfId="6" priority="6" stopIfTrue="1" operator="equal">
      <formula>"Η"</formula>
    </cfRule>
  </conditionalFormatting>
  <conditionalFormatting sqref="AM7:AX12 R7:AC18">
    <cfRule type="cellIs" dxfId="5" priority="7" stopIfTrue="1" operator="equal">
      <formula>"Ν"</formula>
    </cfRule>
    <cfRule type="cellIs" dxfId="4" priority="8" stopIfTrue="1" operator="equal">
      <formula>"Ι"</formula>
    </cfRule>
    <cfRule type="cellIs" dxfId="3" priority="9" stopIfTrue="1" operator="equal">
      <formula>"Η"</formula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1A-4933-4FBA-8481-D8408D5D424B}">
  <dimension ref="A5:M46"/>
  <sheetViews>
    <sheetView topLeftCell="A7" workbookViewId="0">
      <selection activeCell="F44" sqref="F44"/>
    </sheetView>
  </sheetViews>
  <sheetFormatPr defaultRowHeight="12.75" x14ac:dyDescent="0.2"/>
  <cols>
    <col min="1" max="2" width="9.28515625" style="32" bestFit="1" customWidth="1"/>
    <col min="3" max="3" width="16.28515625" style="32" bestFit="1" customWidth="1"/>
    <col min="4" max="6" width="9.28515625" style="32" bestFit="1" customWidth="1"/>
    <col min="7" max="7" width="12.140625" style="32" bestFit="1" customWidth="1"/>
    <col min="8" max="8" width="2.140625" style="32" customWidth="1"/>
    <col min="9" max="9" width="13.5703125" style="32" bestFit="1" customWidth="1"/>
    <col min="10" max="10" width="13.140625" style="32" customWidth="1"/>
    <col min="11" max="11" width="15" style="32" customWidth="1"/>
    <col min="12" max="12" width="11.85546875" style="32" bestFit="1" customWidth="1"/>
    <col min="13" max="13" width="13.5703125" style="32" bestFit="1" customWidth="1"/>
    <col min="14" max="16384" width="9.140625" style="32"/>
  </cols>
  <sheetData>
    <row r="5" spans="1:13" ht="14.25" x14ac:dyDescent="0.2">
      <c r="A5" s="370" t="s">
        <v>85</v>
      </c>
      <c r="B5" s="371"/>
      <c r="C5" s="31">
        <f ca="1">NOW()</f>
        <v>45982.691792708334</v>
      </c>
      <c r="I5" s="372" t="s">
        <v>86</v>
      </c>
      <c r="J5" s="372"/>
      <c r="K5" s="372"/>
      <c r="L5" s="372"/>
      <c r="M5" s="33">
        <v>700000</v>
      </c>
    </row>
    <row r="6" spans="1:13" x14ac:dyDescent="0.2">
      <c r="I6" s="373" t="s">
        <v>87</v>
      </c>
      <c r="J6" s="373"/>
      <c r="K6" s="373"/>
      <c r="L6" s="373"/>
      <c r="M6" s="373"/>
    </row>
    <row r="7" spans="1:13" ht="15" x14ac:dyDescent="0.2">
      <c r="A7" s="374" t="s">
        <v>88</v>
      </c>
      <c r="B7" s="375"/>
      <c r="C7" s="375"/>
      <c r="D7" s="375"/>
      <c r="E7" s="375"/>
      <c r="F7" s="376"/>
      <c r="I7" s="34" t="s">
        <v>89</v>
      </c>
      <c r="J7" s="35" t="s">
        <v>90</v>
      </c>
      <c r="K7" s="35" t="s">
        <v>91</v>
      </c>
      <c r="L7" s="36" t="s">
        <v>92</v>
      </c>
      <c r="M7" s="36" t="s">
        <v>93</v>
      </c>
    </row>
    <row r="8" spans="1:13" ht="15.75" x14ac:dyDescent="0.25">
      <c r="A8" s="37">
        <v>1</v>
      </c>
      <c r="B8" s="37">
        <v>3</v>
      </c>
      <c r="C8" s="37">
        <v>8</v>
      </c>
      <c r="D8" s="37">
        <v>18</v>
      </c>
      <c r="E8" s="37">
        <v>23</v>
      </c>
      <c r="F8" s="37">
        <v>37</v>
      </c>
      <c r="I8" s="38" t="s">
        <v>94</v>
      </c>
      <c r="J8" s="39">
        <v>0.78</v>
      </c>
      <c r="K8" s="33"/>
      <c r="L8" s="40"/>
      <c r="M8" s="33"/>
    </row>
    <row r="9" spans="1:13" ht="15" x14ac:dyDescent="0.2">
      <c r="I9" s="38" t="s">
        <v>95</v>
      </c>
      <c r="J9" s="39">
        <v>0.17</v>
      </c>
      <c r="K9" s="33"/>
      <c r="L9" s="40"/>
      <c r="M9" s="33"/>
    </row>
    <row r="10" spans="1:13" ht="15" x14ac:dyDescent="0.2">
      <c r="A10" s="377" t="s">
        <v>96</v>
      </c>
      <c r="B10" s="378"/>
      <c r="C10" s="378"/>
      <c r="D10" s="378"/>
      <c r="E10" s="378"/>
      <c r="F10" s="379"/>
      <c r="G10" s="41" t="s">
        <v>97</v>
      </c>
      <c r="I10" s="38" t="s">
        <v>98</v>
      </c>
      <c r="J10" s="39">
        <v>0.04</v>
      </c>
      <c r="K10" s="33"/>
      <c r="L10" s="40"/>
      <c r="M10" s="33"/>
    </row>
    <row r="11" spans="1:13" ht="15" x14ac:dyDescent="0.2">
      <c r="A11" s="42">
        <v>1</v>
      </c>
      <c r="B11" s="42">
        <v>3</v>
      </c>
      <c r="C11" s="42">
        <v>18</v>
      </c>
      <c r="D11" s="42">
        <v>27</v>
      </c>
      <c r="E11" s="42">
        <v>32</v>
      </c>
      <c r="F11" s="42">
        <v>37</v>
      </c>
      <c r="G11" s="43"/>
      <c r="H11" s="44"/>
      <c r="I11" s="38" t="s">
        <v>99</v>
      </c>
      <c r="J11" s="39">
        <v>0.01</v>
      </c>
      <c r="K11" s="33"/>
      <c r="L11" s="40"/>
      <c r="M11" s="33"/>
    </row>
    <row r="12" spans="1:13" x14ac:dyDescent="0.2">
      <c r="A12" s="42">
        <v>1</v>
      </c>
      <c r="B12" s="42">
        <v>2</v>
      </c>
      <c r="C12" s="42">
        <v>9</v>
      </c>
      <c r="D12" s="42">
        <v>14</v>
      </c>
      <c r="E12" s="42">
        <v>34</v>
      </c>
      <c r="F12" s="42">
        <v>48</v>
      </c>
      <c r="G12" s="43"/>
      <c r="H12" s="44"/>
    </row>
    <row r="13" spans="1:13" x14ac:dyDescent="0.2">
      <c r="A13" s="42">
        <v>1</v>
      </c>
      <c r="B13" s="42">
        <v>2</v>
      </c>
      <c r="C13" s="42">
        <v>18</v>
      </c>
      <c r="D13" s="42">
        <v>31</v>
      </c>
      <c r="E13" s="42">
        <v>37</v>
      </c>
      <c r="F13" s="42">
        <v>44</v>
      </c>
      <c r="G13" s="43"/>
      <c r="H13" s="44"/>
    </row>
    <row r="14" spans="1:13" x14ac:dyDescent="0.2">
      <c r="A14" s="42">
        <v>16</v>
      </c>
      <c r="B14" s="42">
        <v>28</v>
      </c>
      <c r="C14" s="42">
        <v>34</v>
      </c>
      <c r="D14" s="42">
        <v>36</v>
      </c>
      <c r="E14" s="42">
        <v>43</v>
      </c>
      <c r="F14" s="42">
        <v>45</v>
      </c>
      <c r="G14" s="43"/>
      <c r="H14" s="44"/>
    </row>
    <row r="15" spans="1:13" x14ac:dyDescent="0.2">
      <c r="A15" s="42">
        <v>1</v>
      </c>
      <c r="B15" s="42">
        <v>3</v>
      </c>
      <c r="C15" s="42">
        <v>18</v>
      </c>
      <c r="D15" s="42">
        <v>20</v>
      </c>
      <c r="E15" s="42">
        <v>34</v>
      </c>
      <c r="F15" s="42">
        <v>40</v>
      </c>
      <c r="G15" s="43"/>
      <c r="H15" s="44"/>
    </row>
    <row r="16" spans="1:13" x14ac:dyDescent="0.2">
      <c r="A16" s="42">
        <v>3</v>
      </c>
      <c r="B16" s="42">
        <v>14</v>
      </c>
      <c r="C16" s="42">
        <v>32</v>
      </c>
      <c r="D16" s="42">
        <v>36</v>
      </c>
      <c r="E16" s="42">
        <v>42</v>
      </c>
      <c r="F16" s="42">
        <v>48</v>
      </c>
      <c r="G16" s="43"/>
      <c r="H16" s="44"/>
    </row>
    <row r="17" spans="1:8" x14ac:dyDescent="0.2">
      <c r="A17" s="42">
        <v>8</v>
      </c>
      <c r="B17" s="42">
        <v>9</v>
      </c>
      <c r="C17" s="42">
        <v>18</v>
      </c>
      <c r="D17" s="42">
        <v>24</v>
      </c>
      <c r="E17" s="42">
        <v>37</v>
      </c>
      <c r="F17" s="42">
        <v>41</v>
      </c>
      <c r="G17" s="43"/>
      <c r="H17" s="44"/>
    </row>
    <row r="18" spans="1:8" x14ac:dyDescent="0.2">
      <c r="A18" s="42">
        <v>4</v>
      </c>
      <c r="B18" s="42">
        <v>15</v>
      </c>
      <c r="C18" s="42">
        <v>27</v>
      </c>
      <c r="D18" s="42">
        <v>30</v>
      </c>
      <c r="E18" s="42">
        <v>45</v>
      </c>
      <c r="F18" s="42">
        <v>46</v>
      </c>
      <c r="G18" s="43"/>
      <c r="H18" s="44"/>
    </row>
    <row r="19" spans="1:8" x14ac:dyDescent="0.2">
      <c r="A19" s="42">
        <v>8</v>
      </c>
      <c r="B19" s="42">
        <v>12</v>
      </c>
      <c r="C19" s="42">
        <v>18</v>
      </c>
      <c r="D19" s="42">
        <v>29</v>
      </c>
      <c r="E19" s="42">
        <v>37</v>
      </c>
      <c r="F19" s="42">
        <v>44</v>
      </c>
      <c r="G19" s="43"/>
      <c r="H19" s="44"/>
    </row>
    <row r="20" spans="1:8" x14ac:dyDescent="0.2">
      <c r="A20" s="42">
        <v>10</v>
      </c>
      <c r="B20" s="42">
        <v>11</v>
      </c>
      <c r="C20" s="42">
        <v>17</v>
      </c>
      <c r="D20" s="42">
        <v>25</v>
      </c>
      <c r="E20" s="42">
        <v>30</v>
      </c>
      <c r="F20" s="42">
        <v>44</v>
      </c>
      <c r="G20" s="43"/>
      <c r="H20" s="44"/>
    </row>
    <row r="21" spans="1:8" x14ac:dyDescent="0.2">
      <c r="A21" s="42">
        <v>8</v>
      </c>
      <c r="B21" s="42">
        <v>15</v>
      </c>
      <c r="C21" s="42">
        <v>27</v>
      </c>
      <c r="D21" s="42">
        <v>29</v>
      </c>
      <c r="E21" s="42">
        <v>33</v>
      </c>
      <c r="F21" s="42">
        <v>47</v>
      </c>
      <c r="G21" s="43"/>
      <c r="H21" s="44"/>
    </row>
    <row r="22" spans="1:8" x14ac:dyDescent="0.2">
      <c r="A22" s="42">
        <v>9</v>
      </c>
      <c r="B22" s="42">
        <v>10</v>
      </c>
      <c r="C22" s="42">
        <v>11</v>
      </c>
      <c r="D22" s="42">
        <v>12</v>
      </c>
      <c r="E22" s="42">
        <v>24</v>
      </c>
      <c r="F22" s="42">
        <v>48</v>
      </c>
      <c r="G22" s="43"/>
      <c r="H22" s="44"/>
    </row>
    <row r="23" spans="1:8" x14ac:dyDescent="0.2">
      <c r="A23" s="42">
        <v>1</v>
      </c>
      <c r="B23" s="42">
        <v>8</v>
      </c>
      <c r="C23" s="42">
        <v>12</v>
      </c>
      <c r="D23" s="42">
        <v>24</v>
      </c>
      <c r="E23" s="42">
        <v>37</v>
      </c>
      <c r="F23" s="42">
        <v>41</v>
      </c>
      <c r="G23" s="43"/>
      <c r="H23" s="44"/>
    </row>
    <row r="24" spans="1:8" x14ac:dyDescent="0.2">
      <c r="A24" s="42">
        <v>25</v>
      </c>
      <c r="B24" s="42">
        <v>8</v>
      </c>
      <c r="C24" s="42">
        <v>18</v>
      </c>
      <c r="D24" s="42">
        <v>35</v>
      </c>
      <c r="E24" s="42">
        <v>23</v>
      </c>
      <c r="F24" s="42">
        <v>37</v>
      </c>
      <c r="G24" s="43"/>
      <c r="H24" s="44"/>
    </row>
    <row r="25" spans="1:8" x14ac:dyDescent="0.2">
      <c r="A25" s="42">
        <v>4</v>
      </c>
      <c r="B25" s="42">
        <v>10</v>
      </c>
      <c r="C25" s="42">
        <v>30</v>
      </c>
      <c r="D25" s="42">
        <v>38</v>
      </c>
      <c r="E25" s="42">
        <v>41</v>
      </c>
      <c r="F25" s="42">
        <v>49</v>
      </c>
      <c r="G25" s="43"/>
      <c r="H25" s="44"/>
    </row>
    <row r="26" spans="1:8" x14ac:dyDescent="0.2">
      <c r="A26" s="42">
        <v>3</v>
      </c>
      <c r="B26" s="42">
        <v>15</v>
      </c>
      <c r="C26" s="42">
        <v>23</v>
      </c>
      <c r="D26" s="42">
        <v>32</v>
      </c>
      <c r="E26" s="42">
        <v>37</v>
      </c>
      <c r="F26" s="42">
        <v>44</v>
      </c>
      <c r="G26" s="43"/>
      <c r="H26" s="44"/>
    </row>
    <row r="27" spans="1:8" x14ac:dyDescent="0.2">
      <c r="A27" s="42">
        <v>1</v>
      </c>
      <c r="B27" s="42">
        <v>8</v>
      </c>
      <c r="C27" s="42">
        <v>18</v>
      </c>
      <c r="D27" s="42">
        <v>24</v>
      </c>
      <c r="E27" s="42">
        <v>37</v>
      </c>
      <c r="F27" s="42">
        <v>47</v>
      </c>
      <c r="G27" s="43"/>
      <c r="H27" s="44"/>
    </row>
    <row r="28" spans="1:8" x14ac:dyDescent="0.2">
      <c r="A28" s="42">
        <v>8</v>
      </c>
      <c r="B28" s="42">
        <v>18</v>
      </c>
      <c r="C28" s="42">
        <v>36</v>
      </c>
      <c r="D28" s="42">
        <v>37</v>
      </c>
      <c r="E28" s="42">
        <v>40</v>
      </c>
      <c r="F28" s="42">
        <v>48</v>
      </c>
      <c r="G28" s="43"/>
      <c r="H28" s="44"/>
    </row>
    <row r="29" spans="1:8" x14ac:dyDescent="0.2">
      <c r="A29" s="42">
        <v>19</v>
      </c>
      <c r="B29" s="42">
        <v>21</v>
      </c>
      <c r="C29" s="42">
        <v>25</v>
      </c>
      <c r="D29" s="42">
        <v>33</v>
      </c>
      <c r="E29" s="42">
        <v>41</v>
      </c>
      <c r="F29" s="42">
        <v>46</v>
      </c>
      <c r="G29" s="43"/>
      <c r="H29" s="44"/>
    </row>
    <row r="30" spans="1:8" x14ac:dyDescent="0.2">
      <c r="A30" s="42">
        <v>4</v>
      </c>
      <c r="B30" s="42">
        <v>6</v>
      </c>
      <c r="C30" s="42">
        <v>25</v>
      </c>
      <c r="D30" s="42">
        <v>28</v>
      </c>
      <c r="E30" s="42">
        <v>33</v>
      </c>
      <c r="F30" s="42">
        <v>44</v>
      </c>
      <c r="G30" s="43"/>
      <c r="H30" s="44"/>
    </row>
    <row r="31" spans="1:8" x14ac:dyDescent="0.2">
      <c r="A31" s="42">
        <v>7</v>
      </c>
      <c r="B31" s="42">
        <v>10</v>
      </c>
      <c r="C31" s="42">
        <v>18</v>
      </c>
      <c r="D31" s="42">
        <v>23</v>
      </c>
      <c r="E31" s="42">
        <v>25</v>
      </c>
      <c r="F31" s="42">
        <v>37</v>
      </c>
      <c r="G31" s="43"/>
      <c r="H31" s="44"/>
    </row>
    <row r="32" spans="1:8" x14ac:dyDescent="0.2">
      <c r="A32" s="42">
        <v>28</v>
      </c>
      <c r="B32" s="42">
        <v>37</v>
      </c>
      <c r="C32" s="42">
        <v>40</v>
      </c>
      <c r="D32" s="42">
        <v>43</v>
      </c>
      <c r="E32" s="42">
        <v>44</v>
      </c>
      <c r="F32" s="42">
        <v>48</v>
      </c>
      <c r="G32" s="43"/>
      <c r="H32" s="44"/>
    </row>
    <row r="33" spans="1:8" x14ac:dyDescent="0.2">
      <c r="A33" s="42">
        <v>8</v>
      </c>
      <c r="B33" s="42">
        <v>21</v>
      </c>
      <c r="C33" s="42">
        <v>23</v>
      </c>
      <c r="D33" s="42">
        <v>14</v>
      </c>
      <c r="E33" s="42">
        <v>37</v>
      </c>
      <c r="F33" s="42">
        <v>2</v>
      </c>
      <c r="G33" s="43"/>
      <c r="H33" s="44"/>
    </row>
    <row r="34" spans="1:8" x14ac:dyDescent="0.2">
      <c r="A34" s="42">
        <v>3</v>
      </c>
      <c r="B34" s="42">
        <v>12</v>
      </c>
      <c r="C34" s="42">
        <v>19</v>
      </c>
      <c r="D34" s="42">
        <v>20</v>
      </c>
      <c r="E34" s="42">
        <v>26</v>
      </c>
      <c r="F34" s="42">
        <v>28</v>
      </c>
      <c r="G34" s="43"/>
      <c r="H34" s="44"/>
    </row>
    <row r="35" spans="1:8" x14ac:dyDescent="0.2">
      <c r="A35" s="42">
        <v>11</v>
      </c>
      <c r="B35" s="42">
        <v>13</v>
      </c>
      <c r="C35" s="42">
        <v>31</v>
      </c>
      <c r="D35" s="42">
        <v>41</v>
      </c>
      <c r="E35" s="42">
        <v>47</v>
      </c>
      <c r="F35" s="42">
        <v>49</v>
      </c>
      <c r="G35" s="43"/>
      <c r="H35" s="44"/>
    </row>
    <row r="36" spans="1:8" x14ac:dyDescent="0.2">
      <c r="A36" s="42">
        <v>1</v>
      </c>
      <c r="B36" s="42">
        <v>8</v>
      </c>
      <c r="C36" s="42">
        <v>18</v>
      </c>
      <c r="D36" s="42">
        <v>37</v>
      </c>
      <c r="E36" s="42">
        <v>47</v>
      </c>
      <c r="F36" s="42">
        <v>48</v>
      </c>
      <c r="G36" s="43"/>
      <c r="H36" s="44"/>
    </row>
    <row r="37" spans="1:8" x14ac:dyDescent="0.2">
      <c r="A37" s="42">
        <v>12</v>
      </c>
      <c r="B37" s="42">
        <v>23</v>
      </c>
      <c r="C37" s="42">
        <v>31</v>
      </c>
      <c r="D37" s="42">
        <v>38</v>
      </c>
      <c r="E37" s="42">
        <v>47</v>
      </c>
      <c r="F37" s="42">
        <v>48</v>
      </c>
      <c r="G37" s="43"/>
      <c r="H37" s="44"/>
    </row>
    <row r="38" spans="1:8" x14ac:dyDescent="0.2">
      <c r="A38" s="42">
        <v>6</v>
      </c>
      <c r="B38" s="42">
        <v>18</v>
      </c>
      <c r="C38" s="42">
        <v>23</v>
      </c>
      <c r="D38" s="42">
        <v>37</v>
      </c>
      <c r="E38" s="42">
        <v>43</v>
      </c>
      <c r="F38" s="42">
        <v>46</v>
      </c>
      <c r="G38" s="43"/>
      <c r="H38" s="44"/>
    </row>
    <row r="39" spans="1:8" x14ac:dyDescent="0.2">
      <c r="A39" s="42">
        <v>1</v>
      </c>
      <c r="B39" s="42">
        <v>3</v>
      </c>
      <c r="C39" s="42">
        <v>8</v>
      </c>
      <c r="D39" s="42">
        <v>18</v>
      </c>
      <c r="E39" s="42">
        <v>23</v>
      </c>
      <c r="F39" s="42">
        <v>37</v>
      </c>
      <c r="G39" s="43"/>
      <c r="H39" s="44"/>
    </row>
    <row r="40" spans="1:8" x14ac:dyDescent="0.2">
      <c r="A40" s="42">
        <v>1</v>
      </c>
      <c r="B40" s="42">
        <v>18</v>
      </c>
      <c r="C40" s="42">
        <v>22</v>
      </c>
      <c r="D40" s="42">
        <v>23</v>
      </c>
      <c r="E40" s="42">
        <v>37</v>
      </c>
      <c r="F40" s="42">
        <v>42</v>
      </c>
      <c r="G40" s="43"/>
      <c r="H40" s="44"/>
    </row>
    <row r="41" spans="1:8" x14ac:dyDescent="0.2">
      <c r="A41" s="42">
        <v>3</v>
      </c>
      <c r="B41" s="42">
        <v>18</v>
      </c>
      <c r="C41" s="42">
        <v>23</v>
      </c>
      <c r="D41" s="42">
        <v>8</v>
      </c>
      <c r="E41" s="42">
        <v>37</v>
      </c>
      <c r="F41" s="42">
        <v>49</v>
      </c>
      <c r="G41" s="43"/>
      <c r="H41" s="44"/>
    </row>
    <row r="42" spans="1:8" x14ac:dyDescent="0.2">
      <c r="A42" s="42">
        <v>3</v>
      </c>
      <c r="B42" s="42">
        <v>4</v>
      </c>
      <c r="C42" s="42">
        <v>10</v>
      </c>
      <c r="D42" s="42">
        <v>18</v>
      </c>
      <c r="E42" s="42">
        <v>37</v>
      </c>
      <c r="F42" s="42">
        <v>44</v>
      </c>
      <c r="G42" s="43"/>
      <c r="H42" s="44"/>
    </row>
    <row r="43" spans="1:8" x14ac:dyDescent="0.2">
      <c r="A43" s="42">
        <v>4</v>
      </c>
      <c r="B43" s="42">
        <v>13</v>
      </c>
      <c r="C43" s="42">
        <v>26</v>
      </c>
      <c r="D43" s="42">
        <v>30</v>
      </c>
      <c r="E43" s="42">
        <v>37</v>
      </c>
      <c r="F43" s="42">
        <v>38</v>
      </c>
      <c r="G43" s="43"/>
      <c r="H43" s="44"/>
    </row>
    <row r="44" spans="1:8" x14ac:dyDescent="0.2">
      <c r="A44" s="42">
        <v>11</v>
      </c>
      <c r="B44" s="42">
        <v>13</v>
      </c>
      <c r="C44" s="42">
        <v>16</v>
      </c>
      <c r="D44" s="42">
        <v>26</v>
      </c>
      <c r="E44" s="42">
        <v>41</v>
      </c>
      <c r="F44" s="42">
        <v>43</v>
      </c>
      <c r="G44" s="43"/>
      <c r="H44" s="44"/>
    </row>
    <row r="45" spans="1:8" x14ac:dyDescent="0.2">
      <c r="A45" s="42">
        <v>6</v>
      </c>
      <c r="B45" s="42">
        <v>7</v>
      </c>
      <c r="C45" s="42">
        <v>8</v>
      </c>
      <c r="D45" s="42">
        <v>18</v>
      </c>
      <c r="E45" s="42">
        <v>37</v>
      </c>
      <c r="F45" s="42">
        <v>36</v>
      </c>
      <c r="G45" s="43"/>
      <c r="H45" s="44"/>
    </row>
    <row r="46" spans="1:8" x14ac:dyDescent="0.2">
      <c r="A46" s="42">
        <v>1</v>
      </c>
      <c r="B46" s="42">
        <v>3</v>
      </c>
      <c r="C46" s="42">
        <v>18</v>
      </c>
      <c r="D46" s="42">
        <v>23</v>
      </c>
      <c r="E46" s="42">
        <v>37</v>
      </c>
      <c r="F46" s="42">
        <v>38</v>
      </c>
      <c r="G46" s="43"/>
      <c r="H46" s="44"/>
    </row>
  </sheetData>
  <mergeCells count="5">
    <mergeCell ref="A5:B5"/>
    <mergeCell ref="I5:L5"/>
    <mergeCell ref="I6:M6"/>
    <mergeCell ref="A7:F7"/>
    <mergeCell ref="A10:F10"/>
  </mergeCells>
  <conditionalFormatting sqref="G11:G46">
    <cfRule type="cellIs" dxfId="2" priority="1" stopIfTrue="1" operator="equal">
      <formula>6</formula>
    </cfRule>
    <cfRule type="cellIs" dxfId="1" priority="2" stopIfTrue="1" operator="equal">
      <formula>5</formula>
    </cfRule>
    <cfRule type="cellIs" dxfId="0" priority="3" stopIfTrue="1" operator="equal">
      <formula>4</formula>
    </cfRule>
  </conditionalFormatting>
  <pageMargins left="0.75" right="0.75" top="1" bottom="1" header="0.5" footer="0.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B985-5250-4685-B274-DD8355694C25}">
  <sheetPr>
    <pageSetUpPr fitToPage="1"/>
  </sheetPr>
  <dimension ref="A1:G25"/>
  <sheetViews>
    <sheetView workbookViewId="0">
      <selection activeCell="E5" sqref="E5"/>
    </sheetView>
  </sheetViews>
  <sheetFormatPr defaultRowHeight="15" x14ac:dyDescent="0.25"/>
  <cols>
    <col min="1" max="1" width="9.140625" style="148"/>
    <col min="2" max="13" width="12.7109375" style="148" customWidth="1"/>
    <col min="14" max="16384" width="9.140625" style="148"/>
  </cols>
  <sheetData>
    <row r="1" spans="1:7" ht="19.5" x14ac:dyDescent="0.25">
      <c r="A1" s="169" t="s">
        <v>507</v>
      </c>
    </row>
    <row r="2" spans="1:7" ht="18.75" customHeight="1" x14ac:dyDescent="0.25"/>
    <row r="3" spans="1:7" ht="18.75" customHeight="1" x14ac:dyDescent="0.25">
      <c r="B3" s="169"/>
    </row>
    <row r="4" spans="1:7" ht="18.75" customHeight="1" x14ac:dyDescent="0.25">
      <c r="B4" s="148" t="s">
        <v>508</v>
      </c>
    </row>
    <row r="5" spans="1:7" ht="18.75" customHeight="1" x14ac:dyDescent="0.25">
      <c r="C5" s="148" t="s">
        <v>509</v>
      </c>
    </row>
    <row r="6" spans="1:7" ht="18.75" customHeight="1" x14ac:dyDescent="0.25">
      <c r="B6" s="169"/>
      <c r="D6" s="148" t="s">
        <v>510</v>
      </c>
    </row>
    <row r="7" spans="1:7" ht="18.75" customHeight="1" x14ac:dyDescent="0.25">
      <c r="B7" s="169"/>
      <c r="F7" s="148" t="s">
        <v>511</v>
      </c>
    </row>
    <row r="8" spans="1:7" ht="18.75" customHeight="1" x14ac:dyDescent="0.25">
      <c r="B8" s="169"/>
    </row>
    <row r="9" spans="1:7" ht="15.75" x14ac:dyDescent="0.3">
      <c r="B9" s="170" t="s">
        <v>512</v>
      </c>
    </row>
    <row r="10" spans="1:7" ht="15.75" x14ac:dyDescent="0.3">
      <c r="B10" s="170" t="s">
        <v>513</v>
      </c>
    </row>
    <row r="12" spans="1:7" x14ac:dyDescent="0.25">
      <c r="F12" s="148" t="s">
        <v>514</v>
      </c>
    </row>
    <row r="13" spans="1:7" ht="16.5" thickBot="1" x14ac:dyDescent="0.35">
      <c r="B13" s="148" t="s">
        <v>515</v>
      </c>
      <c r="F13" s="171" t="s">
        <v>492</v>
      </c>
      <c r="G13" s="171" t="s">
        <v>516</v>
      </c>
    </row>
    <row r="14" spans="1:7" ht="17.25" thickTop="1" thickBot="1" x14ac:dyDescent="0.35">
      <c r="B14" s="171" t="s">
        <v>492</v>
      </c>
      <c r="C14" s="148" t="s">
        <v>516</v>
      </c>
      <c r="F14" s="172" t="s">
        <v>517</v>
      </c>
      <c r="G14" s="173" t="s">
        <v>518</v>
      </c>
    </row>
    <row r="15" spans="1:7" ht="16.5" thickTop="1" thickBot="1" x14ac:dyDescent="0.3">
      <c r="B15" s="174" t="s">
        <v>493</v>
      </c>
      <c r="F15" s="175" t="s">
        <v>11</v>
      </c>
      <c r="G15" s="176" t="s">
        <v>518</v>
      </c>
    </row>
    <row r="16" spans="1:7" ht="15.75" thickTop="1" x14ac:dyDescent="0.25">
      <c r="B16" s="148" t="s">
        <v>519</v>
      </c>
      <c r="F16" s="175" t="s">
        <v>493</v>
      </c>
      <c r="G16" s="176" t="s">
        <v>520</v>
      </c>
    </row>
    <row r="17" spans="1:7" x14ac:dyDescent="0.25">
      <c r="F17" s="175" t="s">
        <v>521</v>
      </c>
      <c r="G17" s="176" t="s">
        <v>522</v>
      </c>
    </row>
    <row r="18" spans="1:7" x14ac:dyDescent="0.25">
      <c r="F18" s="175" t="s">
        <v>523</v>
      </c>
      <c r="G18" s="176" t="s">
        <v>520</v>
      </c>
    </row>
    <row r="19" spans="1:7" ht="15.75" thickBot="1" x14ac:dyDescent="0.3">
      <c r="F19" s="177" t="s">
        <v>519</v>
      </c>
      <c r="G19" s="178" t="s">
        <v>524</v>
      </c>
    </row>
    <row r="20" spans="1:7" ht="16.5" thickTop="1" x14ac:dyDescent="0.3">
      <c r="B20" s="179" t="s">
        <v>525</v>
      </c>
      <c r="C20" s="180"/>
    </row>
    <row r="21" spans="1:7" x14ac:dyDescent="0.25">
      <c r="B21" s="180"/>
      <c r="C21" s="180" t="s">
        <v>526</v>
      </c>
    </row>
    <row r="25" spans="1:7" ht="15.75" x14ac:dyDescent="0.3">
      <c r="A25" s="264"/>
      <c r="B25" s="264"/>
      <c r="C25" s="264"/>
    </row>
  </sheetData>
  <mergeCells count="1">
    <mergeCell ref="A25:C25"/>
  </mergeCells>
  <pageMargins left="0.70866141732283472" right="0.70866141732283472" top="0.74803149606299213" bottom="0.74803149606299213" header="0.31496062992125984" footer="0.31496062992125984"/>
  <pageSetup paperSize="9" scale="47" orientation="portrait" horizontalDpi="30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4796-079B-49EC-86A4-0C5D465F25CF}">
  <sheetPr>
    <pageSetUpPr fitToPage="1"/>
  </sheetPr>
  <dimension ref="A1:I98"/>
  <sheetViews>
    <sheetView workbookViewId="0">
      <selection activeCell="A21" sqref="A21:C21"/>
    </sheetView>
  </sheetViews>
  <sheetFormatPr defaultRowHeight="15" x14ac:dyDescent="0.25"/>
  <cols>
    <col min="1" max="1" width="12.7109375" style="148" customWidth="1"/>
    <col min="2" max="2" width="18.140625" style="148" customWidth="1"/>
    <col min="3" max="3" width="12.7109375" style="148" customWidth="1"/>
    <col min="4" max="4" width="19.140625" style="148" bestFit="1" customWidth="1"/>
    <col min="5" max="5" width="24.85546875" style="148" bestFit="1" customWidth="1"/>
    <col min="6" max="7" width="12.7109375" style="148" customWidth="1"/>
    <col min="8" max="8" width="26.85546875" style="148" customWidth="1"/>
    <col min="9" max="9" width="12.7109375" style="148" customWidth="1"/>
    <col min="10" max="16384" width="9.140625" style="148"/>
  </cols>
  <sheetData>
    <row r="1" spans="1:9" s="183" customFormat="1" ht="18.75" x14ac:dyDescent="0.3">
      <c r="A1" s="181" t="s">
        <v>527</v>
      </c>
      <c r="B1" s="182"/>
      <c r="C1" s="182"/>
    </row>
    <row r="2" spans="1:9" s="183" customFormat="1" ht="15.75" x14ac:dyDescent="0.2">
      <c r="A2" s="184"/>
      <c r="B2" s="182"/>
      <c r="C2" s="182"/>
    </row>
    <row r="3" spans="1:9" s="183" customFormat="1" ht="15.75" x14ac:dyDescent="0.2">
      <c r="A3" s="184"/>
      <c r="B3" s="182"/>
      <c r="C3" s="182"/>
    </row>
    <row r="4" spans="1:9" ht="18.75" customHeight="1" x14ac:dyDescent="0.25">
      <c r="B4" s="147" t="s">
        <v>528</v>
      </c>
    </row>
    <row r="6" spans="1:9" x14ac:dyDescent="0.25">
      <c r="A6" s="184" t="s">
        <v>529</v>
      </c>
      <c r="C6" s="185"/>
      <c r="D6" s="185"/>
      <c r="E6" s="185"/>
      <c r="F6" s="186"/>
      <c r="G6" s="184" t="s">
        <v>530</v>
      </c>
      <c r="I6" s="186"/>
    </row>
    <row r="7" spans="1:9" ht="15.75" x14ac:dyDescent="0.25">
      <c r="A7" s="187" t="s">
        <v>531</v>
      </c>
      <c r="B7" s="188" t="s">
        <v>134</v>
      </c>
      <c r="C7" s="188" t="s">
        <v>532</v>
      </c>
      <c r="D7" s="189" t="s">
        <v>533</v>
      </c>
      <c r="E7" s="190" t="s">
        <v>499</v>
      </c>
      <c r="F7" s="185"/>
      <c r="G7" s="191" t="s">
        <v>532</v>
      </c>
      <c r="H7" s="191" t="s">
        <v>534</v>
      </c>
    </row>
    <row r="8" spans="1:9" x14ac:dyDescent="0.25">
      <c r="A8" s="148">
        <v>1</v>
      </c>
      <c r="B8" s="192" t="s">
        <v>535</v>
      </c>
      <c r="C8" s="193" t="s">
        <v>536</v>
      </c>
      <c r="D8" s="194"/>
      <c r="E8" s="195" t="s">
        <v>537</v>
      </c>
      <c r="F8" s="185"/>
      <c r="G8" s="196" t="s">
        <v>538</v>
      </c>
      <c r="H8" s="197" t="s">
        <v>539</v>
      </c>
    </row>
    <row r="9" spans="1:9" x14ac:dyDescent="0.25">
      <c r="A9" s="148">
        <v>2</v>
      </c>
      <c r="B9" s="192" t="s">
        <v>540</v>
      </c>
      <c r="C9" s="193" t="s">
        <v>541</v>
      </c>
      <c r="D9" s="194"/>
      <c r="E9" s="198" t="s">
        <v>542</v>
      </c>
      <c r="F9" s="185"/>
      <c r="G9" s="196" t="s">
        <v>543</v>
      </c>
      <c r="H9" s="197" t="s">
        <v>544</v>
      </c>
    </row>
    <row r="10" spans="1:9" x14ac:dyDescent="0.25">
      <c r="A10" s="148">
        <v>3</v>
      </c>
      <c r="B10" s="192" t="s">
        <v>545</v>
      </c>
      <c r="C10" s="193" t="s">
        <v>538</v>
      </c>
      <c r="D10" s="194"/>
      <c r="E10" s="198" t="s">
        <v>542</v>
      </c>
      <c r="F10" s="185"/>
      <c r="G10" s="196" t="s">
        <v>546</v>
      </c>
      <c r="H10" s="197" t="s">
        <v>547</v>
      </c>
    </row>
    <row r="11" spans="1:9" x14ac:dyDescent="0.25">
      <c r="A11" s="148">
        <v>4</v>
      </c>
      <c r="B11" s="192" t="s">
        <v>548</v>
      </c>
      <c r="C11" s="199" t="s">
        <v>543</v>
      </c>
      <c r="D11" s="194"/>
      <c r="E11" s="198" t="s">
        <v>542</v>
      </c>
      <c r="F11" s="185"/>
      <c r="G11" s="196" t="s">
        <v>541</v>
      </c>
      <c r="H11" s="197" t="s">
        <v>549</v>
      </c>
    </row>
    <row r="12" spans="1:9" x14ac:dyDescent="0.25">
      <c r="A12" s="148">
        <v>5</v>
      </c>
      <c r="B12" s="192" t="s">
        <v>550</v>
      </c>
      <c r="C12" s="199" t="s">
        <v>551</v>
      </c>
      <c r="D12" s="194"/>
      <c r="E12" s="198" t="s">
        <v>542</v>
      </c>
      <c r="G12" s="196" t="s">
        <v>552</v>
      </c>
      <c r="H12" s="197" t="s">
        <v>553</v>
      </c>
    </row>
    <row r="13" spans="1:9" x14ac:dyDescent="0.25">
      <c r="A13" s="148">
        <v>6</v>
      </c>
      <c r="B13" s="192" t="s">
        <v>554</v>
      </c>
      <c r="C13" s="199" t="s">
        <v>536</v>
      </c>
      <c r="D13" s="194"/>
      <c r="E13" s="198" t="s">
        <v>542</v>
      </c>
      <c r="G13" s="196" t="s">
        <v>555</v>
      </c>
      <c r="H13" s="197" t="s">
        <v>556</v>
      </c>
    </row>
    <row r="14" spans="1:9" x14ac:dyDescent="0.25">
      <c r="A14" s="148">
        <v>7</v>
      </c>
      <c r="B14" s="192" t="s">
        <v>557</v>
      </c>
      <c r="C14" s="199" t="s">
        <v>558</v>
      </c>
      <c r="D14" s="194"/>
      <c r="E14" s="198" t="s">
        <v>542</v>
      </c>
      <c r="G14" s="196" t="s">
        <v>559</v>
      </c>
      <c r="H14" s="197" t="s">
        <v>560</v>
      </c>
    </row>
    <row r="15" spans="1:9" x14ac:dyDescent="0.25">
      <c r="A15" s="148">
        <v>8</v>
      </c>
      <c r="B15" s="192" t="s">
        <v>561</v>
      </c>
      <c r="C15" s="199" t="s">
        <v>546</v>
      </c>
      <c r="D15" s="194"/>
      <c r="E15" s="198" t="s">
        <v>542</v>
      </c>
      <c r="G15" s="196" t="s">
        <v>562</v>
      </c>
      <c r="H15" s="197" t="s">
        <v>563</v>
      </c>
    </row>
    <row r="16" spans="1:9" x14ac:dyDescent="0.25">
      <c r="A16" s="148">
        <v>9</v>
      </c>
      <c r="B16" s="200" t="s">
        <v>564</v>
      </c>
      <c r="C16" s="199" t="s">
        <v>543</v>
      </c>
      <c r="D16" s="194"/>
      <c r="E16" s="198" t="s">
        <v>542</v>
      </c>
      <c r="G16" s="196" t="s">
        <v>565</v>
      </c>
      <c r="H16" s="197" t="s">
        <v>566</v>
      </c>
    </row>
    <row r="17" spans="1:8" x14ac:dyDescent="0.25">
      <c r="A17" s="148">
        <v>10</v>
      </c>
      <c r="B17" s="192" t="s">
        <v>567</v>
      </c>
      <c r="C17" s="199" t="s">
        <v>568</v>
      </c>
      <c r="D17" s="194"/>
      <c r="E17" s="198" t="s">
        <v>542</v>
      </c>
      <c r="G17" s="196" t="s">
        <v>551</v>
      </c>
      <c r="H17" s="197" t="s">
        <v>569</v>
      </c>
    </row>
    <row r="18" spans="1:8" x14ac:dyDescent="0.25">
      <c r="A18" s="148">
        <v>11</v>
      </c>
      <c r="B18" s="200" t="s">
        <v>570</v>
      </c>
      <c r="C18" s="199" t="s">
        <v>546</v>
      </c>
      <c r="E18" s="198" t="s">
        <v>542</v>
      </c>
      <c r="G18" s="196" t="s">
        <v>558</v>
      </c>
      <c r="H18" s="197" t="s">
        <v>571</v>
      </c>
    </row>
    <row r="19" spans="1:8" x14ac:dyDescent="0.25">
      <c r="G19" s="196" t="s">
        <v>572</v>
      </c>
      <c r="H19" s="197" t="s">
        <v>573</v>
      </c>
    </row>
    <row r="20" spans="1:8" x14ac:dyDescent="0.25">
      <c r="G20" s="196" t="s">
        <v>568</v>
      </c>
      <c r="H20" s="197" t="s">
        <v>574</v>
      </c>
    </row>
    <row r="21" spans="1:8" ht="15.75" x14ac:dyDescent="0.3">
      <c r="A21" s="264"/>
      <c r="B21" s="264"/>
      <c r="C21" s="264"/>
      <c r="G21" s="196" t="s">
        <v>575</v>
      </c>
      <c r="H21" s="197" t="s">
        <v>576</v>
      </c>
    </row>
    <row r="22" spans="1:8" x14ac:dyDescent="0.25">
      <c r="G22" s="196" t="s">
        <v>577</v>
      </c>
      <c r="H22" s="197" t="s">
        <v>578</v>
      </c>
    </row>
    <row r="23" spans="1:8" x14ac:dyDescent="0.25">
      <c r="G23" s="196" t="s">
        <v>579</v>
      </c>
      <c r="H23" s="197" t="s">
        <v>580</v>
      </c>
    </row>
    <row r="24" spans="1:8" x14ac:dyDescent="0.25">
      <c r="G24" s="196" t="s">
        <v>581</v>
      </c>
      <c r="H24" s="197" t="s">
        <v>582</v>
      </c>
    </row>
    <row r="25" spans="1:8" x14ac:dyDescent="0.25">
      <c r="G25" s="196" t="s">
        <v>583</v>
      </c>
      <c r="H25" s="197" t="s">
        <v>584</v>
      </c>
    </row>
    <row r="26" spans="1:8" x14ac:dyDescent="0.25">
      <c r="G26" s="196" t="s">
        <v>585</v>
      </c>
      <c r="H26" s="197" t="s">
        <v>586</v>
      </c>
    </row>
    <row r="27" spans="1:8" ht="25.5" x14ac:dyDescent="0.25">
      <c r="G27" s="196" t="s">
        <v>587</v>
      </c>
      <c r="H27" s="197" t="s">
        <v>588</v>
      </c>
    </row>
    <row r="28" spans="1:8" ht="25.5" x14ac:dyDescent="0.25">
      <c r="G28" s="196" t="s">
        <v>589</v>
      </c>
      <c r="H28" s="197" t="s">
        <v>590</v>
      </c>
    </row>
    <row r="29" spans="1:8" x14ac:dyDescent="0.25">
      <c r="G29" s="196" t="s">
        <v>591</v>
      </c>
      <c r="H29" s="197" t="s">
        <v>592</v>
      </c>
    </row>
    <row r="30" spans="1:8" ht="25.5" x14ac:dyDescent="0.25">
      <c r="G30" s="196" t="s">
        <v>593</v>
      </c>
      <c r="H30" s="197" t="s">
        <v>594</v>
      </c>
    </row>
    <row r="31" spans="1:8" x14ac:dyDescent="0.25">
      <c r="G31" s="196" t="s">
        <v>595</v>
      </c>
      <c r="H31" s="197" t="s">
        <v>596</v>
      </c>
    </row>
    <row r="32" spans="1:8" ht="25.5" x14ac:dyDescent="0.25">
      <c r="G32" s="196" t="s">
        <v>597</v>
      </c>
      <c r="H32" s="197" t="s">
        <v>598</v>
      </c>
    </row>
    <row r="33" spans="7:8" ht="25.5" x14ac:dyDescent="0.25">
      <c r="G33" s="196" t="s">
        <v>599</v>
      </c>
      <c r="H33" s="197" t="s">
        <v>600</v>
      </c>
    </row>
    <row r="34" spans="7:8" x14ac:dyDescent="0.25">
      <c r="G34" s="196" t="s">
        <v>601</v>
      </c>
      <c r="H34" s="197" t="s">
        <v>602</v>
      </c>
    </row>
    <row r="35" spans="7:8" ht="25.5" x14ac:dyDescent="0.25">
      <c r="G35" s="196" t="s">
        <v>603</v>
      </c>
      <c r="H35" s="197" t="s">
        <v>604</v>
      </c>
    </row>
    <row r="36" spans="7:8" x14ac:dyDescent="0.25">
      <c r="G36" s="196" t="s">
        <v>605</v>
      </c>
      <c r="H36" s="197" t="s">
        <v>606</v>
      </c>
    </row>
    <row r="37" spans="7:8" x14ac:dyDescent="0.25">
      <c r="G37" s="196" t="s">
        <v>607</v>
      </c>
      <c r="H37" s="197" t="s">
        <v>608</v>
      </c>
    </row>
    <row r="38" spans="7:8" x14ac:dyDescent="0.25">
      <c r="G38" s="196" t="s">
        <v>609</v>
      </c>
      <c r="H38" s="197" t="s">
        <v>610</v>
      </c>
    </row>
    <row r="39" spans="7:8" x14ac:dyDescent="0.25">
      <c r="G39" s="196" t="s">
        <v>611</v>
      </c>
      <c r="H39" s="197" t="s">
        <v>612</v>
      </c>
    </row>
    <row r="40" spans="7:8" ht="25.5" x14ac:dyDescent="0.25">
      <c r="G40" s="196" t="s">
        <v>613</v>
      </c>
      <c r="H40" s="197" t="s">
        <v>614</v>
      </c>
    </row>
    <row r="41" spans="7:8" x14ac:dyDescent="0.25">
      <c r="G41" s="196" t="s">
        <v>615</v>
      </c>
      <c r="H41" s="197" t="s">
        <v>616</v>
      </c>
    </row>
    <row r="42" spans="7:8" x14ac:dyDescent="0.25">
      <c r="G42" s="196" t="s">
        <v>617</v>
      </c>
      <c r="H42" s="197" t="s">
        <v>618</v>
      </c>
    </row>
    <row r="43" spans="7:8" x14ac:dyDescent="0.25">
      <c r="G43" s="196" t="s">
        <v>619</v>
      </c>
      <c r="H43" s="197" t="s">
        <v>620</v>
      </c>
    </row>
    <row r="44" spans="7:8" x14ac:dyDescent="0.25">
      <c r="G44" s="196" t="s">
        <v>621</v>
      </c>
      <c r="H44" s="197" t="s">
        <v>622</v>
      </c>
    </row>
    <row r="45" spans="7:8" x14ac:dyDescent="0.25">
      <c r="G45" s="196" t="s">
        <v>623</v>
      </c>
      <c r="H45" s="197" t="s">
        <v>624</v>
      </c>
    </row>
    <row r="46" spans="7:8" x14ac:dyDescent="0.25">
      <c r="G46" s="196" t="s">
        <v>625</v>
      </c>
      <c r="H46" s="197" t="s">
        <v>626</v>
      </c>
    </row>
    <row r="47" spans="7:8" x14ac:dyDescent="0.25">
      <c r="G47" s="196" t="s">
        <v>627</v>
      </c>
      <c r="H47" s="197" t="s">
        <v>628</v>
      </c>
    </row>
    <row r="48" spans="7:8" x14ac:dyDescent="0.25">
      <c r="G48" s="196" t="s">
        <v>629</v>
      </c>
      <c r="H48" s="197" t="s">
        <v>630</v>
      </c>
    </row>
    <row r="49" spans="7:8" ht="25.5" x14ac:dyDescent="0.25">
      <c r="G49" s="196" t="s">
        <v>631</v>
      </c>
      <c r="H49" s="197" t="s">
        <v>632</v>
      </c>
    </row>
    <row r="50" spans="7:8" ht="38.25" x14ac:dyDescent="0.25">
      <c r="G50" s="196" t="s">
        <v>633</v>
      </c>
      <c r="H50" s="197" t="s">
        <v>634</v>
      </c>
    </row>
    <row r="51" spans="7:8" ht="25.5" x14ac:dyDescent="0.25">
      <c r="G51" s="196" t="s">
        <v>635</v>
      </c>
      <c r="H51" s="197" t="s">
        <v>636</v>
      </c>
    </row>
    <row r="52" spans="7:8" ht="25.5" x14ac:dyDescent="0.25">
      <c r="G52" s="196" t="s">
        <v>637</v>
      </c>
      <c r="H52" s="197" t="s">
        <v>638</v>
      </c>
    </row>
    <row r="53" spans="7:8" ht="25.5" x14ac:dyDescent="0.25">
      <c r="G53" s="196" t="s">
        <v>639</v>
      </c>
      <c r="H53" s="197" t="s">
        <v>640</v>
      </c>
    </row>
    <row r="54" spans="7:8" x14ac:dyDescent="0.25">
      <c r="G54" s="196" t="s">
        <v>641</v>
      </c>
      <c r="H54" s="197" t="s">
        <v>642</v>
      </c>
    </row>
    <row r="55" spans="7:8" x14ac:dyDescent="0.25">
      <c r="G55" s="196" t="s">
        <v>643</v>
      </c>
      <c r="H55" s="197" t="s">
        <v>644</v>
      </c>
    </row>
    <row r="56" spans="7:8" x14ac:dyDescent="0.25">
      <c r="G56" s="196" t="s">
        <v>645</v>
      </c>
      <c r="H56" s="197" t="s">
        <v>646</v>
      </c>
    </row>
    <row r="57" spans="7:8" x14ac:dyDescent="0.25">
      <c r="G57" s="196" t="s">
        <v>647</v>
      </c>
      <c r="H57" s="197" t="s">
        <v>648</v>
      </c>
    </row>
    <row r="58" spans="7:8" x14ac:dyDescent="0.25">
      <c r="G58" s="196" t="s">
        <v>649</v>
      </c>
      <c r="H58" s="197" t="s">
        <v>650</v>
      </c>
    </row>
    <row r="59" spans="7:8" x14ac:dyDescent="0.25">
      <c r="G59" s="196" t="s">
        <v>651</v>
      </c>
      <c r="H59" s="197" t="s">
        <v>652</v>
      </c>
    </row>
    <row r="60" spans="7:8" x14ac:dyDescent="0.25">
      <c r="G60" s="196" t="s">
        <v>653</v>
      </c>
      <c r="H60" s="197" t="s">
        <v>654</v>
      </c>
    </row>
    <row r="61" spans="7:8" x14ac:dyDescent="0.25">
      <c r="G61" s="196" t="s">
        <v>655</v>
      </c>
      <c r="H61" s="197" t="s">
        <v>656</v>
      </c>
    </row>
    <row r="62" spans="7:8" x14ac:dyDescent="0.25">
      <c r="G62" s="196" t="s">
        <v>657</v>
      </c>
      <c r="H62" s="197" t="s">
        <v>658</v>
      </c>
    </row>
    <row r="63" spans="7:8" x14ac:dyDescent="0.25">
      <c r="G63" s="196" t="s">
        <v>659</v>
      </c>
      <c r="H63" s="197" t="s">
        <v>660</v>
      </c>
    </row>
    <row r="64" spans="7:8" x14ac:dyDescent="0.25">
      <c r="G64" s="196" t="s">
        <v>661</v>
      </c>
      <c r="H64" s="197" t="s">
        <v>662</v>
      </c>
    </row>
    <row r="65" spans="7:8" x14ac:dyDescent="0.25">
      <c r="G65" s="196" t="s">
        <v>663</v>
      </c>
      <c r="H65" s="197" t="s">
        <v>664</v>
      </c>
    </row>
    <row r="66" spans="7:8" ht="51" x14ac:dyDescent="0.25">
      <c r="G66" s="196" t="s">
        <v>665</v>
      </c>
      <c r="H66" s="197" t="s">
        <v>666</v>
      </c>
    </row>
    <row r="67" spans="7:8" x14ac:dyDescent="0.25">
      <c r="G67" s="196" t="s">
        <v>667</v>
      </c>
      <c r="H67" s="197" t="s">
        <v>668</v>
      </c>
    </row>
    <row r="68" spans="7:8" x14ac:dyDescent="0.25">
      <c r="G68" s="196" t="s">
        <v>669</v>
      </c>
      <c r="H68" s="197" t="s">
        <v>670</v>
      </c>
    </row>
    <row r="69" spans="7:8" ht="25.5" x14ac:dyDescent="0.25">
      <c r="G69" s="196" t="s">
        <v>671</v>
      </c>
      <c r="H69" s="197" t="s">
        <v>672</v>
      </c>
    </row>
    <row r="70" spans="7:8" x14ac:dyDescent="0.25">
      <c r="G70" s="196" t="s">
        <v>673</v>
      </c>
      <c r="H70" s="197" t="s">
        <v>674</v>
      </c>
    </row>
    <row r="71" spans="7:8" ht="25.5" x14ac:dyDescent="0.25">
      <c r="G71" s="196" t="s">
        <v>675</v>
      </c>
      <c r="H71" s="197" t="s">
        <v>676</v>
      </c>
    </row>
    <row r="72" spans="7:8" x14ac:dyDescent="0.25">
      <c r="G72" s="196" t="s">
        <v>677</v>
      </c>
      <c r="H72" s="197" t="s">
        <v>678</v>
      </c>
    </row>
    <row r="73" spans="7:8" x14ac:dyDescent="0.25">
      <c r="G73" s="196" t="s">
        <v>679</v>
      </c>
      <c r="H73" s="197" t="s">
        <v>680</v>
      </c>
    </row>
    <row r="74" spans="7:8" x14ac:dyDescent="0.25">
      <c r="G74" s="196" t="s">
        <v>681</v>
      </c>
      <c r="H74" s="197" t="s">
        <v>682</v>
      </c>
    </row>
    <row r="75" spans="7:8" ht="25.5" x14ac:dyDescent="0.25">
      <c r="G75" s="196" t="s">
        <v>683</v>
      </c>
      <c r="H75" s="197" t="s">
        <v>684</v>
      </c>
    </row>
    <row r="76" spans="7:8" ht="63.75" x14ac:dyDescent="0.25">
      <c r="G76" s="196" t="s">
        <v>685</v>
      </c>
      <c r="H76" s="197" t="s">
        <v>686</v>
      </c>
    </row>
    <row r="77" spans="7:8" x14ac:dyDescent="0.25">
      <c r="G77" s="196" t="s">
        <v>687</v>
      </c>
      <c r="H77" s="197" t="s">
        <v>688</v>
      </c>
    </row>
    <row r="78" spans="7:8" x14ac:dyDescent="0.25">
      <c r="G78" s="196" t="s">
        <v>689</v>
      </c>
      <c r="H78" s="197" t="s">
        <v>690</v>
      </c>
    </row>
    <row r="79" spans="7:8" x14ac:dyDescent="0.25">
      <c r="G79" s="196" t="s">
        <v>691</v>
      </c>
      <c r="H79" s="197" t="s">
        <v>692</v>
      </c>
    </row>
    <row r="80" spans="7:8" x14ac:dyDescent="0.25">
      <c r="G80" s="196" t="s">
        <v>693</v>
      </c>
      <c r="H80" s="197" t="s">
        <v>694</v>
      </c>
    </row>
    <row r="81" spans="7:8" x14ac:dyDescent="0.25">
      <c r="G81" s="196" t="s">
        <v>695</v>
      </c>
      <c r="H81" s="197" t="s">
        <v>696</v>
      </c>
    </row>
    <row r="82" spans="7:8" ht="38.25" x14ac:dyDescent="0.25">
      <c r="G82" s="196" t="s">
        <v>697</v>
      </c>
      <c r="H82" s="197" t="s">
        <v>698</v>
      </c>
    </row>
    <row r="83" spans="7:8" x14ac:dyDescent="0.25">
      <c r="G83" s="196" t="s">
        <v>699</v>
      </c>
      <c r="H83" s="197" t="s">
        <v>700</v>
      </c>
    </row>
    <row r="84" spans="7:8" x14ac:dyDescent="0.25">
      <c r="G84" s="196" t="s">
        <v>701</v>
      </c>
      <c r="H84" s="197" t="s">
        <v>702</v>
      </c>
    </row>
    <row r="85" spans="7:8" ht="25.5" x14ac:dyDescent="0.25">
      <c r="G85" s="196" t="s">
        <v>703</v>
      </c>
      <c r="H85" s="197" t="s">
        <v>704</v>
      </c>
    </row>
    <row r="86" spans="7:8" x14ac:dyDescent="0.25">
      <c r="G86" s="196" t="s">
        <v>705</v>
      </c>
      <c r="H86" s="197" t="s">
        <v>706</v>
      </c>
    </row>
    <row r="87" spans="7:8" x14ac:dyDescent="0.25">
      <c r="G87" s="196" t="s">
        <v>707</v>
      </c>
      <c r="H87" s="197" t="s">
        <v>708</v>
      </c>
    </row>
    <row r="88" spans="7:8" ht="25.5" x14ac:dyDescent="0.25">
      <c r="G88" s="196" t="s">
        <v>709</v>
      </c>
      <c r="H88" s="197" t="s">
        <v>710</v>
      </c>
    </row>
    <row r="89" spans="7:8" ht="51" x14ac:dyDescent="0.25">
      <c r="G89" s="196" t="s">
        <v>711</v>
      </c>
      <c r="H89" s="197" t="s">
        <v>712</v>
      </c>
    </row>
    <row r="90" spans="7:8" x14ac:dyDescent="0.25">
      <c r="G90" s="196" t="s">
        <v>713</v>
      </c>
      <c r="H90" s="197" t="s">
        <v>714</v>
      </c>
    </row>
    <row r="91" spans="7:8" x14ac:dyDescent="0.25">
      <c r="G91" s="196" t="s">
        <v>715</v>
      </c>
      <c r="H91" s="197" t="s">
        <v>716</v>
      </c>
    </row>
    <row r="92" spans="7:8" x14ac:dyDescent="0.25">
      <c r="G92" s="196" t="s">
        <v>717</v>
      </c>
      <c r="H92" s="197" t="s">
        <v>718</v>
      </c>
    </row>
    <row r="93" spans="7:8" ht="38.25" x14ac:dyDescent="0.25">
      <c r="G93" s="196" t="s">
        <v>719</v>
      </c>
      <c r="H93" s="197" t="s">
        <v>720</v>
      </c>
    </row>
    <row r="94" spans="7:8" x14ac:dyDescent="0.25">
      <c r="G94" s="196" t="s">
        <v>721</v>
      </c>
      <c r="H94" s="197" t="s">
        <v>722</v>
      </c>
    </row>
    <row r="95" spans="7:8" x14ac:dyDescent="0.25">
      <c r="G95" s="196" t="s">
        <v>536</v>
      </c>
      <c r="H95" s="197" t="s">
        <v>723</v>
      </c>
    </row>
    <row r="96" spans="7:8" x14ac:dyDescent="0.25">
      <c r="G96" s="196" t="s">
        <v>724</v>
      </c>
      <c r="H96" s="197" t="s">
        <v>725</v>
      </c>
    </row>
    <row r="97" spans="7:8" x14ac:dyDescent="0.25">
      <c r="G97" s="196" t="s">
        <v>726</v>
      </c>
      <c r="H97" s="197" t="s">
        <v>727</v>
      </c>
    </row>
    <row r="98" spans="7:8" ht="38.25" x14ac:dyDescent="0.25">
      <c r="G98" s="196" t="s">
        <v>726</v>
      </c>
      <c r="H98" s="197" t="s">
        <v>728</v>
      </c>
    </row>
  </sheetData>
  <mergeCells count="1">
    <mergeCell ref="A21:C21"/>
  </mergeCells>
  <pageMargins left="0.70866141732283472" right="0.70866141732283472" top="0.74803149606299213" bottom="0.74803149606299213" header="0.31496062992125984" footer="0.31496062992125984"/>
  <pageSetup paperSize="9" scale="40" orientation="portrait" horizontalDpi="30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76E6-B954-445F-B8A3-F326AAC2F0FE}">
  <sheetPr>
    <pageSetUpPr fitToPage="1"/>
  </sheetPr>
  <dimension ref="A1:I39"/>
  <sheetViews>
    <sheetView workbookViewId="0">
      <selection activeCell="A17" sqref="A17:C17"/>
    </sheetView>
  </sheetViews>
  <sheetFormatPr defaultRowHeight="15" x14ac:dyDescent="0.25"/>
  <cols>
    <col min="1" max="1" width="12.7109375" style="148" customWidth="1"/>
    <col min="2" max="2" width="18.140625" style="148" customWidth="1"/>
    <col min="3" max="3" width="12.7109375" style="148" customWidth="1"/>
    <col min="4" max="4" width="15.85546875" style="148" bestFit="1" customWidth="1"/>
    <col min="5" max="5" width="24.85546875" style="148" bestFit="1" customWidth="1"/>
    <col min="6" max="7" width="12.7109375" style="148" customWidth="1"/>
    <col min="8" max="8" width="15.140625" style="148" bestFit="1" customWidth="1"/>
    <col min="9" max="9" width="12.7109375" style="148" customWidth="1"/>
    <col min="10" max="16384" width="9.140625" style="148"/>
  </cols>
  <sheetData>
    <row r="1" spans="1:9" s="202" customFormat="1" ht="21.75" x14ac:dyDescent="0.45">
      <c r="A1" s="149" t="s">
        <v>729</v>
      </c>
      <c r="B1" s="201"/>
      <c r="C1" s="201"/>
    </row>
    <row r="2" spans="1:9" s="202" customFormat="1" ht="19.5" x14ac:dyDescent="0.3">
      <c r="A2" s="170"/>
      <c r="B2" s="201"/>
      <c r="C2" s="201"/>
    </row>
    <row r="3" spans="1:9" s="202" customFormat="1" ht="19.5" x14ac:dyDescent="0.3">
      <c r="A3" s="170"/>
      <c r="B3" s="201"/>
      <c r="C3" s="201"/>
    </row>
    <row r="4" spans="1:9" ht="18.75" customHeight="1" x14ac:dyDescent="0.4">
      <c r="B4" s="150" t="s">
        <v>730</v>
      </c>
    </row>
    <row r="6" spans="1:9" ht="15.75" x14ac:dyDescent="0.3">
      <c r="B6" s="170" t="s">
        <v>529</v>
      </c>
      <c r="C6" s="203"/>
      <c r="D6" s="203"/>
      <c r="E6" s="203"/>
      <c r="F6" s="204"/>
      <c r="G6" s="170" t="s">
        <v>530</v>
      </c>
      <c r="I6" s="204"/>
    </row>
    <row r="7" spans="1:9" ht="15.75" x14ac:dyDescent="0.3">
      <c r="B7" s="205" t="s">
        <v>134</v>
      </c>
      <c r="C7" s="205" t="s">
        <v>481</v>
      </c>
      <c r="D7" s="206" t="s">
        <v>731</v>
      </c>
      <c r="E7" s="190" t="s">
        <v>499</v>
      </c>
      <c r="F7" s="203"/>
      <c r="G7" s="207" t="s">
        <v>481</v>
      </c>
      <c r="H7" s="207" t="s">
        <v>173</v>
      </c>
    </row>
    <row r="8" spans="1:9" ht="15.75" x14ac:dyDescent="0.3">
      <c r="B8" s="208" t="s">
        <v>482</v>
      </c>
      <c r="C8" s="209">
        <v>5</v>
      </c>
      <c r="D8" s="194"/>
      <c r="E8" s="195" t="s">
        <v>732</v>
      </c>
      <c r="F8" s="203"/>
      <c r="G8" s="210">
        <v>0</v>
      </c>
      <c r="H8" s="210" t="s">
        <v>733</v>
      </c>
    </row>
    <row r="9" spans="1:9" ht="15.75" x14ac:dyDescent="0.3">
      <c r="B9" s="208" t="s">
        <v>486</v>
      </c>
      <c r="C9" s="209">
        <v>14.2</v>
      </c>
      <c r="D9" s="194"/>
      <c r="E9" s="198" t="s">
        <v>542</v>
      </c>
      <c r="F9" s="203"/>
      <c r="G9" s="210">
        <v>9.9</v>
      </c>
      <c r="H9" s="210" t="s">
        <v>734</v>
      </c>
    </row>
    <row r="10" spans="1:9" ht="15.75" x14ac:dyDescent="0.3">
      <c r="B10" s="208" t="s">
        <v>489</v>
      </c>
      <c r="C10" s="209">
        <v>17</v>
      </c>
      <c r="D10" s="194"/>
      <c r="E10" s="198" t="s">
        <v>542</v>
      </c>
      <c r="F10" s="203"/>
      <c r="G10" s="210">
        <v>12</v>
      </c>
      <c r="H10" s="210" t="s">
        <v>735</v>
      </c>
    </row>
    <row r="11" spans="1:9" ht="15.75" x14ac:dyDescent="0.3">
      <c r="B11" s="208" t="s">
        <v>736</v>
      </c>
      <c r="C11" s="211">
        <v>20</v>
      </c>
      <c r="D11" s="194"/>
      <c r="E11" s="198" t="s">
        <v>542</v>
      </c>
      <c r="F11" s="203"/>
      <c r="G11" s="210">
        <v>15</v>
      </c>
      <c r="H11" s="210" t="s">
        <v>737</v>
      </c>
    </row>
    <row r="12" spans="1:9" x14ac:dyDescent="0.25">
      <c r="G12" s="210">
        <v>18</v>
      </c>
      <c r="H12" s="210" t="s">
        <v>738</v>
      </c>
    </row>
    <row r="13" spans="1:9" x14ac:dyDescent="0.25">
      <c r="G13" s="210"/>
      <c r="H13" s="210"/>
    </row>
    <row r="14" spans="1:9" x14ac:dyDescent="0.25">
      <c r="G14" s="210"/>
      <c r="H14" s="210"/>
    </row>
    <row r="15" spans="1:9" x14ac:dyDescent="0.25">
      <c r="G15" s="210"/>
      <c r="H15" s="210"/>
    </row>
    <row r="16" spans="1:9" x14ac:dyDescent="0.25">
      <c r="G16" s="210"/>
      <c r="H16" s="210"/>
    </row>
    <row r="17" spans="1:8" ht="15.75" x14ac:dyDescent="0.3">
      <c r="A17" s="264"/>
      <c r="B17" s="264"/>
      <c r="C17" s="264"/>
      <c r="G17" s="210"/>
      <c r="H17" s="210"/>
    </row>
    <row r="18" spans="1:8" x14ac:dyDescent="0.25">
      <c r="G18" s="210"/>
      <c r="H18" s="210"/>
    </row>
    <row r="19" spans="1:8" x14ac:dyDescent="0.25">
      <c r="G19" s="210"/>
      <c r="H19" s="210"/>
    </row>
    <row r="20" spans="1:8" x14ac:dyDescent="0.25">
      <c r="G20" s="210"/>
      <c r="H20" s="210"/>
    </row>
    <row r="21" spans="1:8" x14ac:dyDescent="0.25">
      <c r="G21" s="210"/>
      <c r="H21" s="210"/>
    </row>
    <row r="22" spans="1:8" x14ac:dyDescent="0.25">
      <c r="G22" s="210"/>
      <c r="H22" s="210"/>
    </row>
    <row r="23" spans="1:8" x14ac:dyDescent="0.25">
      <c r="G23" s="210"/>
      <c r="H23" s="210"/>
    </row>
    <row r="24" spans="1:8" x14ac:dyDescent="0.25">
      <c r="G24" s="210"/>
      <c r="H24" s="210"/>
    </row>
    <row r="25" spans="1:8" x14ac:dyDescent="0.25">
      <c r="G25" s="210"/>
      <c r="H25" s="210"/>
    </row>
    <row r="26" spans="1:8" x14ac:dyDescent="0.25">
      <c r="G26" s="210"/>
      <c r="H26" s="210"/>
    </row>
    <row r="27" spans="1:8" x14ac:dyDescent="0.25">
      <c r="G27" s="210"/>
      <c r="H27" s="210"/>
    </row>
    <row r="28" spans="1:8" x14ac:dyDescent="0.25">
      <c r="G28" s="210"/>
      <c r="H28" s="210"/>
    </row>
    <row r="29" spans="1:8" x14ac:dyDescent="0.25">
      <c r="G29" s="210"/>
      <c r="H29" s="210"/>
    </row>
    <row r="30" spans="1:8" x14ac:dyDescent="0.25">
      <c r="G30" s="210"/>
      <c r="H30" s="210"/>
    </row>
    <row r="31" spans="1:8" x14ac:dyDescent="0.25">
      <c r="G31" s="210"/>
      <c r="H31" s="210"/>
    </row>
    <row r="32" spans="1:8" x14ac:dyDescent="0.25">
      <c r="G32" s="210"/>
      <c r="H32" s="210"/>
    </row>
    <row r="33" spans="7:8" x14ac:dyDescent="0.25">
      <c r="G33" s="210"/>
      <c r="H33" s="210"/>
    </row>
    <row r="34" spans="7:8" x14ac:dyDescent="0.25">
      <c r="G34" s="210"/>
      <c r="H34" s="210"/>
    </row>
    <row r="35" spans="7:8" x14ac:dyDescent="0.25">
      <c r="G35" s="210"/>
      <c r="H35" s="210"/>
    </row>
    <row r="36" spans="7:8" x14ac:dyDescent="0.25">
      <c r="G36" s="210"/>
      <c r="H36" s="210"/>
    </row>
    <row r="37" spans="7:8" x14ac:dyDescent="0.25">
      <c r="G37" s="210"/>
      <c r="H37" s="210"/>
    </row>
    <row r="38" spans="7:8" x14ac:dyDescent="0.25">
      <c r="G38" s="210"/>
      <c r="H38" s="210"/>
    </row>
    <row r="39" spans="7:8" x14ac:dyDescent="0.25">
      <c r="G39" s="210"/>
      <c r="H39" s="210"/>
    </row>
  </sheetData>
  <mergeCells count="1">
    <mergeCell ref="A17:C17"/>
  </mergeCell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8398-928F-44BF-9D80-0AE9B9E50D83}">
  <dimension ref="A1:H19"/>
  <sheetViews>
    <sheetView workbookViewId="0">
      <selection activeCell="H10" sqref="H10"/>
    </sheetView>
  </sheetViews>
  <sheetFormatPr defaultRowHeight="12.75" x14ac:dyDescent="0.2"/>
  <cols>
    <col min="1" max="1" width="15.42578125" bestFit="1" customWidth="1"/>
    <col min="2" max="2" width="12.28515625" customWidth="1"/>
    <col min="3" max="3" width="12.140625" customWidth="1"/>
    <col min="4" max="4" width="11.5703125" customWidth="1"/>
    <col min="6" max="6" width="16.28515625" customWidth="1"/>
  </cols>
  <sheetData>
    <row r="1" spans="1:8" x14ac:dyDescent="0.2">
      <c r="B1" s="380" t="s">
        <v>109</v>
      </c>
      <c r="C1" s="380"/>
      <c r="D1" s="380"/>
      <c r="E1" s="380"/>
      <c r="F1" s="380"/>
    </row>
    <row r="2" spans="1:8" x14ac:dyDescent="0.2">
      <c r="B2" s="380"/>
      <c r="C2" s="380"/>
      <c r="D2" s="380"/>
      <c r="E2" s="380"/>
      <c r="F2" s="380"/>
    </row>
    <row r="4" spans="1:8" x14ac:dyDescent="0.2">
      <c r="B4" s="381" t="s">
        <v>110</v>
      </c>
      <c r="C4" s="381"/>
      <c r="D4" s="381"/>
      <c r="E4" s="381"/>
      <c r="F4" s="69"/>
    </row>
    <row r="5" spans="1:8" x14ac:dyDescent="0.2">
      <c r="F5" s="70" t="s">
        <v>111</v>
      </c>
    </row>
    <row r="6" spans="1:8" x14ac:dyDescent="0.2">
      <c r="E6" s="71" t="s">
        <v>112</v>
      </c>
      <c r="F6" s="72"/>
      <c r="H6" s="4"/>
    </row>
    <row r="7" spans="1:8" x14ac:dyDescent="0.2">
      <c r="A7" s="4"/>
      <c r="F7" s="70" t="s">
        <v>113</v>
      </c>
    </row>
    <row r="8" spans="1:8" x14ac:dyDescent="0.2">
      <c r="B8" s="73"/>
    </row>
    <row r="9" spans="1:8" ht="38.25" customHeight="1" x14ac:dyDescent="0.2">
      <c r="B9" s="74" t="s">
        <v>114</v>
      </c>
      <c r="C9" s="75" t="s">
        <v>115</v>
      </c>
      <c r="D9" s="75" t="s">
        <v>116</v>
      </c>
      <c r="E9" s="382" t="s">
        <v>117</v>
      </c>
      <c r="F9" s="383"/>
    </row>
    <row r="10" spans="1:8" x14ac:dyDescent="0.2">
      <c r="B10" s="76">
        <v>14912</v>
      </c>
      <c r="C10" s="77"/>
      <c r="D10" s="77"/>
      <c r="E10" s="384">
        <f>DAYS360(B10,F4,TRUE)</f>
        <v>-14698</v>
      </c>
      <c r="F10" s="384"/>
      <c r="H10" s="4"/>
    </row>
    <row r="13" spans="1:8" x14ac:dyDescent="0.2">
      <c r="B13" s="78">
        <v>1</v>
      </c>
      <c r="C13" s="78" t="s">
        <v>118</v>
      </c>
    </row>
    <row r="14" spans="1:8" x14ac:dyDescent="0.2">
      <c r="B14" s="78">
        <v>2</v>
      </c>
      <c r="C14" s="78" t="s">
        <v>119</v>
      </c>
    </row>
    <row r="15" spans="1:8" x14ac:dyDescent="0.2">
      <c r="B15" s="78">
        <v>3</v>
      </c>
      <c r="C15" s="78" t="s">
        <v>120</v>
      </c>
    </row>
    <row r="16" spans="1:8" x14ac:dyDescent="0.2">
      <c r="B16" s="78">
        <v>4</v>
      </c>
      <c r="C16" s="78" t="s">
        <v>121</v>
      </c>
    </row>
    <row r="17" spans="2:3" x14ac:dyDescent="0.2">
      <c r="B17" s="78">
        <v>5</v>
      </c>
      <c r="C17" s="78" t="s">
        <v>122</v>
      </c>
    </row>
    <row r="18" spans="2:3" x14ac:dyDescent="0.2">
      <c r="B18" s="78">
        <v>6</v>
      </c>
      <c r="C18" s="78" t="s">
        <v>123</v>
      </c>
    </row>
    <row r="19" spans="2:3" x14ac:dyDescent="0.2">
      <c r="B19" s="78">
        <v>7</v>
      </c>
      <c r="C19" s="78" t="s">
        <v>124</v>
      </c>
    </row>
  </sheetData>
  <mergeCells count="4">
    <mergeCell ref="B1:F2"/>
    <mergeCell ref="B4:E4"/>
    <mergeCell ref="E9:F9"/>
    <mergeCell ref="E10:F10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F24F-51AD-4DDC-911E-9309C88D7751}">
  <dimension ref="C1:J41"/>
  <sheetViews>
    <sheetView workbookViewId="0">
      <selection activeCell="G29" sqref="G29"/>
    </sheetView>
  </sheetViews>
  <sheetFormatPr defaultRowHeight="12.75" x14ac:dyDescent="0.2"/>
  <cols>
    <col min="4" max="4" width="7.28515625" customWidth="1"/>
    <col min="5" max="5" width="11" customWidth="1"/>
    <col min="9" max="9" width="11.140625" customWidth="1"/>
  </cols>
  <sheetData>
    <row r="1" spans="3:10" x14ac:dyDescent="0.2">
      <c r="C1" s="385" t="s">
        <v>108</v>
      </c>
      <c r="D1" s="386"/>
      <c r="E1" s="386"/>
      <c r="F1" s="386"/>
      <c r="G1" s="386"/>
      <c r="H1" s="386"/>
      <c r="I1" s="386"/>
      <c r="J1" s="387"/>
    </row>
    <row r="2" spans="3:10" x14ac:dyDescent="0.2">
      <c r="C2" s="388"/>
      <c r="D2" s="389"/>
      <c r="E2" s="389"/>
      <c r="F2" s="389"/>
      <c r="G2" s="389"/>
      <c r="H2" s="389"/>
      <c r="I2" s="389"/>
      <c r="J2" s="390"/>
    </row>
    <row r="3" spans="3:10" x14ac:dyDescent="0.2">
      <c r="C3" s="53">
        <v>1</v>
      </c>
      <c r="E3" s="54"/>
      <c r="F3" s="55"/>
      <c r="G3" s="56" t="str">
        <f t="shared" ref="G3:G41" si="0">REPT("@",C3)</f>
        <v>@</v>
      </c>
      <c r="H3" s="55"/>
      <c r="I3" s="57"/>
    </row>
    <row r="4" spans="3:10" x14ac:dyDescent="0.2">
      <c r="C4" s="53">
        <v>2</v>
      </c>
      <c r="E4" s="58"/>
      <c r="F4" s="59"/>
      <c r="G4" s="60" t="str">
        <f t="shared" si="0"/>
        <v>@@</v>
      </c>
      <c r="H4" s="59"/>
      <c r="I4" s="61"/>
    </row>
    <row r="5" spans="3:10" x14ac:dyDescent="0.2">
      <c r="C5" s="53">
        <v>3</v>
      </c>
      <c r="E5" s="58"/>
      <c r="F5" s="59"/>
      <c r="G5" s="60" t="str">
        <f t="shared" si="0"/>
        <v>@@@</v>
      </c>
      <c r="H5" s="59"/>
      <c r="I5" s="61"/>
    </row>
    <row r="6" spans="3:10" x14ac:dyDescent="0.2">
      <c r="C6" s="53">
        <v>4</v>
      </c>
      <c r="E6" s="58"/>
      <c r="F6" s="59"/>
      <c r="G6" s="60" t="str">
        <f t="shared" si="0"/>
        <v>@@@@</v>
      </c>
      <c r="H6" s="59"/>
      <c r="I6" s="61"/>
    </row>
    <row r="7" spans="3:10" x14ac:dyDescent="0.2">
      <c r="C7" s="53">
        <v>5</v>
      </c>
      <c r="E7" s="58"/>
      <c r="F7" s="59"/>
      <c r="G7" s="60" t="str">
        <f t="shared" si="0"/>
        <v>@@@@@</v>
      </c>
      <c r="H7" s="59"/>
      <c r="I7" s="61"/>
    </row>
    <row r="8" spans="3:10" x14ac:dyDescent="0.2">
      <c r="C8" s="53">
        <v>6</v>
      </c>
      <c r="E8" s="58"/>
      <c r="F8" s="59"/>
      <c r="G8" s="60" t="str">
        <f t="shared" si="0"/>
        <v>@@@@@@</v>
      </c>
      <c r="H8" s="59"/>
      <c r="I8" s="61"/>
    </row>
    <row r="9" spans="3:10" x14ac:dyDescent="0.2">
      <c r="C9" s="53">
        <v>7</v>
      </c>
      <c r="E9" s="58"/>
      <c r="F9" s="59"/>
      <c r="G9" s="60" t="str">
        <f t="shared" si="0"/>
        <v>@@@@@@@</v>
      </c>
      <c r="H9" s="59"/>
      <c r="I9" s="61"/>
    </row>
    <row r="10" spans="3:10" x14ac:dyDescent="0.2">
      <c r="C10" s="53">
        <v>8</v>
      </c>
      <c r="E10" s="58"/>
      <c r="F10" s="59"/>
      <c r="G10" s="60" t="str">
        <f t="shared" si="0"/>
        <v>@@@@@@@@</v>
      </c>
      <c r="H10" s="59"/>
      <c r="I10" s="61"/>
    </row>
    <row r="11" spans="3:10" x14ac:dyDescent="0.2">
      <c r="C11" s="53">
        <v>9</v>
      </c>
      <c r="E11" s="58"/>
      <c r="F11" s="59"/>
      <c r="G11" s="60" t="str">
        <f t="shared" si="0"/>
        <v>@@@@@@@@@</v>
      </c>
      <c r="H11" s="59"/>
      <c r="I11" s="61"/>
    </row>
    <row r="12" spans="3:10" x14ac:dyDescent="0.2">
      <c r="C12" s="53">
        <v>10</v>
      </c>
      <c r="E12" s="58"/>
      <c r="F12" s="59"/>
      <c r="G12" s="60" t="str">
        <f t="shared" si="0"/>
        <v>@@@@@@@@@@</v>
      </c>
      <c r="H12" s="59"/>
      <c r="I12" s="61"/>
    </row>
    <row r="13" spans="3:10" x14ac:dyDescent="0.2">
      <c r="C13" s="53">
        <v>25</v>
      </c>
      <c r="E13" s="58"/>
      <c r="F13" s="59"/>
      <c r="G13" s="62" t="str">
        <f t="shared" si="0"/>
        <v>@@@@@@@@@@@@@@@@@@@@@@@@@</v>
      </c>
      <c r="H13" s="59"/>
      <c r="I13" s="61"/>
    </row>
    <row r="14" spans="3:10" x14ac:dyDescent="0.2">
      <c r="C14" s="53">
        <v>23</v>
      </c>
      <c r="E14" s="58"/>
      <c r="F14" s="59"/>
      <c r="G14" s="62" t="str">
        <f t="shared" si="0"/>
        <v>@@@@@@@@@@@@@@@@@@@@@@@</v>
      </c>
      <c r="H14" s="59"/>
      <c r="I14" s="61"/>
    </row>
    <row r="15" spans="3:10" x14ac:dyDescent="0.2">
      <c r="C15" s="53">
        <v>21</v>
      </c>
      <c r="E15" s="58"/>
      <c r="F15" s="59"/>
      <c r="G15" s="62" t="str">
        <f t="shared" si="0"/>
        <v>@@@@@@@@@@@@@@@@@@@@@</v>
      </c>
      <c r="H15" s="59"/>
      <c r="I15" s="61"/>
    </row>
    <row r="16" spans="3:10" x14ac:dyDescent="0.2">
      <c r="C16" s="53">
        <v>19</v>
      </c>
      <c r="E16" s="58"/>
      <c r="F16" s="59"/>
      <c r="G16" s="62" t="str">
        <f t="shared" si="0"/>
        <v>@@@@@@@@@@@@@@@@@@@</v>
      </c>
      <c r="H16" s="59"/>
      <c r="I16" s="61"/>
    </row>
    <row r="17" spans="3:9" x14ac:dyDescent="0.2">
      <c r="C17" s="53">
        <v>17</v>
      </c>
      <c r="E17" s="58"/>
      <c r="F17" s="59"/>
      <c r="G17" s="62" t="str">
        <f t="shared" si="0"/>
        <v>@@@@@@@@@@@@@@@@@</v>
      </c>
      <c r="H17" s="59"/>
      <c r="I17" s="61"/>
    </row>
    <row r="18" spans="3:9" x14ac:dyDescent="0.2">
      <c r="C18" s="53">
        <v>15</v>
      </c>
      <c r="E18" s="58"/>
      <c r="F18" s="59"/>
      <c r="G18" s="62" t="str">
        <f t="shared" si="0"/>
        <v>@@@@@@@@@@@@@@@</v>
      </c>
      <c r="H18" s="59"/>
      <c r="I18" s="61"/>
    </row>
    <row r="19" spans="3:9" x14ac:dyDescent="0.2">
      <c r="C19" s="53">
        <v>13</v>
      </c>
      <c r="E19" s="58"/>
      <c r="F19" s="59"/>
      <c r="G19" s="62" t="str">
        <f t="shared" si="0"/>
        <v>@@@@@@@@@@@@@</v>
      </c>
      <c r="H19" s="59"/>
      <c r="I19" s="61"/>
    </row>
    <row r="20" spans="3:9" x14ac:dyDescent="0.2">
      <c r="C20" s="53">
        <v>11</v>
      </c>
      <c r="E20" s="58"/>
      <c r="F20" s="59"/>
      <c r="G20" s="62" t="str">
        <f t="shared" si="0"/>
        <v>@@@@@@@@@@@</v>
      </c>
      <c r="H20" s="59"/>
      <c r="I20" s="61"/>
    </row>
    <row r="21" spans="3:9" x14ac:dyDescent="0.2">
      <c r="C21" s="53">
        <v>9</v>
      </c>
      <c r="E21" s="58"/>
      <c r="F21" s="59"/>
      <c r="G21" s="62" t="str">
        <f t="shared" si="0"/>
        <v>@@@@@@@@@</v>
      </c>
      <c r="H21" s="59"/>
      <c r="I21" s="61"/>
    </row>
    <row r="22" spans="3:9" x14ac:dyDescent="0.2">
      <c r="C22" s="53">
        <v>7</v>
      </c>
      <c r="E22" s="58"/>
      <c r="F22" s="59"/>
      <c r="G22" s="62" t="str">
        <f t="shared" si="0"/>
        <v>@@@@@@@</v>
      </c>
      <c r="H22" s="59"/>
      <c r="I22" s="61"/>
    </row>
    <row r="23" spans="3:9" x14ac:dyDescent="0.2">
      <c r="C23" s="53">
        <v>9</v>
      </c>
      <c r="E23" s="58"/>
      <c r="F23" s="59"/>
      <c r="G23" s="63" t="str">
        <f t="shared" si="0"/>
        <v>@@@@@@@@@</v>
      </c>
      <c r="H23" s="59"/>
      <c r="I23" s="61"/>
    </row>
    <row r="24" spans="3:9" x14ac:dyDescent="0.2">
      <c r="C24" s="53">
        <v>11</v>
      </c>
      <c r="E24" s="58"/>
      <c r="F24" s="59"/>
      <c r="G24" s="63" t="str">
        <f t="shared" si="0"/>
        <v>@@@@@@@@@@@</v>
      </c>
      <c r="H24" s="59"/>
      <c r="I24" s="61"/>
    </row>
    <row r="25" spans="3:9" x14ac:dyDescent="0.2">
      <c r="C25" s="53">
        <v>13</v>
      </c>
      <c r="E25" s="58"/>
      <c r="F25" s="59"/>
      <c r="G25" s="63" t="str">
        <f t="shared" si="0"/>
        <v>@@@@@@@@@@@@@</v>
      </c>
      <c r="H25" s="59"/>
      <c r="I25" s="61"/>
    </row>
    <row r="26" spans="3:9" x14ac:dyDescent="0.2">
      <c r="C26" s="53">
        <v>15</v>
      </c>
      <c r="E26" s="58"/>
      <c r="F26" s="59"/>
      <c r="G26" s="63" t="str">
        <f t="shared" si="0"/>
        <v>@@@@@@@@@@@@@@@</v>
      </c>
      <c r="H26" s="59"/>
      <c r="I26" s="61"/>
    </row>
    <row r="27" spans="3:9" x14ac:dyDescent="0.2">
      <c r="C27" s="53">
        <v>17</v>
      </c>
      <c r="E27" s="58"/>
      <c r="F27" s="59"/>
      <c r="G27" s="63" t="str">
        <f t="shared" si="0"/>
        <v>@@@@@@@@@@@@@@@@@</v>
      </c>
      <c r="H27" s="59"/>
      <c r="I27" s="61"/>
    </row>
    <row r="28" spans="3:9" x14ac:dyDescent="0.2">
      <c r="C28" s="53">
        <v>19</v>
      </c>
      <c r="E28" s="58"/>
      <c r="F28" s="59"/>
      <c r="G28" s="63" t="str">
        <f t="shared" si="0"/>
        <v>@@@@@@@@@@@@@@@@@@@</v>
      </c>
      <c r="H28" s="59"/>
      <c r="I28" s="61"/>
    </row>
    <row r="29" spans="3:9" x14ac:dyDescent="0.2">
      <c r="C29" s="53">
        <v>21</v>
      </c>
      <c r="E29" s="58"/>
      <c r="F29" s="59"/>
      <c r="G29" s="63" t="str">
        <f t="shared" si="0"/>
        <v>@@@@@@@@@@@@@@@@@@@@@</v>
      </c>
      <c r="H29" s="59"/>
      <c r="I29" s="61"/>
    </row>
    <row r="30" spans="3:9" x14ac:dyDescent="0.2">
      <c r="C30" s="53">
        <v>23</v>
      </c>
      <c r="E30" s="58"/>
      <c r="F30" s="59"/>
      <c r="G30" s="63" t="str">
        <f t="shared" si="0"/>
        <v>@@@@@@@@@@@@@@@@@@@@@@@</v>
      </c>
      <c r="H30" s="59"/>
      <c r="I30" s="61"/>
    </row>
    <row r="31" spans="3:9" x14ac:dyDescent="0.2">
      <c r="C31" s="53">
        <v>25</v>
      </c>
      <c r="E31" s="58"/>
      <c r="F31" s="59"/>
      <c r="G31" s="63" t="str">
        <f t="shared" si="0"/>
        <v>@@@@@@@@@@@@@@@@@@@@@@@@@</v>
      </c>
      <c r="H31" s="59"/>
      <c r="I31" s="61"/>
    </row>
    <row r="32" spans="3:9" x14ac:dyDescent="0.2">
      <c r="C32" s="53">
        <v>10</v>
      </c>
      <c r="E32" s="58"/>
      <c r="F32" s="59"/>
      <c r="G32" s="64" t="str">
        <f t="shared" si="0"/>
        <v>@@@@@@@@@@</v>
      </c>
      <c r="H32" s="59"/>
      <c r="I32" s="61"/>
    </row>
    <row r="33" spans="3:9" x14ac:dyDescent="0.2">
      <c r="C33" s="53">
        <v>9</v>
      </c>
      <c r="E33" s="58"/>
      <c r="F33" s="59"/>
      <c r="G33" s="64" t="str">
        <f t="shared" si="0"/>
        <v>@@@@@@@@@</v>
      </c>
      <c r="H33" s="59"/>
      <c r="I33" s="61"/>
    </row>
    <row r="34" spans="3:9" x14ac:dyDescent="0.2">
      <c r="C34" s="53">
        <v>8</v>
      </c>
      <c r="E34" s="58"/>
      <c r="F34" s="59"/>
      <c r="G34" s="64" t="str">
        <f t="shared" si="0"/>
        <v>@@@@@@@@</v>
      </c>
      <c r="H34" s="59"/>
      <c r="I34" s="61"/>
    </row>
    <row r="35" spans="3:9" x14ac:dyDescent="0.2">
      <c r="C35" s="53">
        <v>7</v>
      </c>
      <c r="E35" s="58"/>
      <c r="F35" s="59"/>
      <c r="G35" s="64" t="str">
        <f t="shared" si="0"/>
        <v>@@@@@@@</v>
      </c>
      <c r="H35" s="59"/>
      <c r="I35" s="61"/>
    </row>
    <row r="36" spans="3:9" x14ac:dyDescent="0.2">
      <c r="C36" s="53">
        <v>6</v>
      </c>
      <c r="E36" s="58"/>
      <c r="F36" s="59"/>
      <c r="G36" s="64" t="str">
        <f t="shared" si="0"/>
        <v>@@@@@@</v>
      </c>
      <c r="H36" s="59"/>
      <c r="I36" s="61"/>
    </row>
    <row r="37" spans="3:9" x14ac:dyDescent="0.2">
      <c r="C37" s="53">
        <v>5</v>
      </c>
      <c r="E37" s="58"/>
      <c r="F37" s="59"/>
      <c r="G37" s="64" t="str">
        <f t="shared" si="0"/>
        <v>@@@@@</v>
      </c>
      <c r="H37" s="59"/>
      <c r="I37" s="61"/>
    </row>
    <row r="38" spans="3:9" x14ac:dyDescent="0.2">
      <c r="C38" s="53">
        <v>4</v>
      </c>
      <c r="E38" s="58"/>
      <c r="F38" s="59"/>
      <c r="G38" s="64" t="str">
        <f t="shared" si="0"/>
        <v>@@@@</v>
      </c>
      <c r="H38" s="59"/>
      <c r="I38" s="61"/>
    </row>
    <row r="39" spans="3:9" x14ac:dyDescent="0.2">
      <c r="C39" s="53">
        <v>3</v>
      </c>
      <c r="E39" s="58"/>
      <c r="F39" s="59"/>
      <c r="G39" s="64" t="str">
        <f t="shared" si="0"/>
        <v>@@@</v>
      </c>
      <c r="H39" s="59"/>
      <c r="I39" s="61"/>
    </row>
    <row r="40" spans="3:9" x14ac:dyDescent="0.2">
      <c r="C40" s="53">
        <v>2</v>
      </c>
      <c r="E40" s="58"/>
      <c r="F40" s="59"/>
      <c r="G40" s="64" t="str">
        <f t="shared" si="0"/>
        <v>@@</v>
      </c>
      <c r="H40" s="59"/>
      <c r="I40" s="61"/>
    </row>
    <row r="41" spans="3:9" x14ac:dyDescent="0.2">
      <c r="C41" s="53">
        <v>1</v>
      </c>
      <c r="E41" s="65"/>
      <c r="F41" s="66"/>
      <c r="G41" s="67" t="str">
        <f t="shared" si="0"/>
        <v>@</v>
      </c>
      <c r="H41" s="66"/>
      <c r="I41" s="68"/>
    </row>
  </sheetData>
  <mergeCells count="1">
    <mergeCell ref="C1:J2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D70A-0460-4F97-BB82-9D4268A682AE}">
  <sheetPr>
    <pageSetUpPr autoPageBreaks="0"/>
  </sheetPr>
  <dimension ref="B1:M31"/>
  <sheetViews>
    <sheetView showGridLines="0" topLeftCell="A5" workbookViewId="0">
      <selection activeCell="D29" sqref="D29:H29"/>
    </sheetView>
  </sheetViews>
  <sheetFormatPr defaultRowHeight="12.75" x14ac:dyDescent="0.2"/>
  <cols>
    <col min="1" max="1" width="3.5703125" style="80" customWidth="1"/>
    <col min="2" max="16384" width="9.140625" style="80"/>
  </cols>
  <sheetData>
    <row r="1" spans="2:13" ht="13.5" thickBot="1" x14ac:dyDescent="0.25"/>
    <row r="2" spans="2:13" x14ac:dyDescent="0.2">
      <c r="B2" s="120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2"/>
    </row>
    <row r="3" spans="2:13" x14ac:dyDescent="0.2">
      <c r="B3" s="123"/>
      <c r="E3" s="391" t="s">
        <v>239</v>
      </c>
      <c r="F3" s="391"/>
      <c r="G3" s="391"/>
      <c r="H3" s="391"/>
      <c r="I3" s="391"/>
      <c r="J3" s="391"/>
      <c r="K3" s="391"/>
      <c r="M3" s="124"/>
    </row>
    <row r="4" spans="2:13" ht="13.5" thickBot="1" x14ac:dyDescent="0.25">
      <c r="B4" s="123"/>
      <c r="E4" s="392"/>
      <c r="F4" s="392"/>
      <c r="G4" s="392"/>
      <c r="H4" s="392"/>
      <c r="I4" s="392"/>
      <c r="J4" s="392"/>
      <c r="K4" s="392"/>
      <c r="M4" s="124"/>
    </row>
    <row r="5" spans="2:13" x14ac:dyDescent="0.2">
      <c r="B5" s="123"/>
      <c r="M5" s="124"/>
    </row>
    <row r="6" spans="2:13" x14ac:dyDescent="0.2">
      <c r="B6" s="123"/>
      <c r="M6" s="124"/>
    </row>
    <row r="7" spans="2:13" x14ac:dyDescent="0.2">
      <c r="B7" s="123"/>
      <c r="M7" s="124"/>
    </row>
    <row r="8" spans="2:13" ht="14.25" x14ac:dyDescent="0.2">
      <c r="B8" s="123"/>
      <c r="C8" s="125" t="s">
        <v>240</v>
      </c>
      <c r="E8" s="125"/>
      <c r="F8" s="125"/>
      <c r="G8" s="125"/>
      <c r="H8" s="125"/>
      <c r="M8" s="124"/>
    </row>
    <row r="9" spans="2:13" ht="14.25" x14ac:dyDescent="0.2">
      <c r="B9" s="123"/>
      <c r="C9" s="125" t="s">
        <v>241</v>
      </c>
      <c r="E9" s="125"/>
      <c r="F9" s="125"/>
      <c r="G9" s="125"/>
      <c r="H9" s="125"/>
      <c r="M9" s="124"/>
    </row>
    <row r="10" spans="2:13" ht="14.25" x14ac:dyDescent="0.2">
      <c r="B10" s="123"/>
      <c r="C10" s="125" t="s">
        <v>242</v>
      </c>
      <c r="E10" s="125"/>
      <c r="F10" s="125"/>
      <c r="G10" s="125"/>
      <c r="H10" s="125"/>
      <c r="M10" s="124"/>
    </row>
    <row r="11" spans="2:13" ht="16.5" x14ac:dyDescent="0.35">
      <c r="B11" s="123"/>
      <c r="D11" s="126" t="s">
        <v>243</v>
      </c>
      <c r="M11" s="124"/>
    </row>
    <row r="12" spans="2:13" ht="16.5" x14ac:dyDescent="0.35">
      <c r="B12" s="123"/>
      <c r="D12" s="126" t="s">
        <v>244</v>
      </c>
      <c r="M12" s="124"/>
    </row>
    <row r="13" spans="2:13" ht="16.5" x14ac:dyDescent="0.35">
      <c r="B13" s="123"/>
      <c r="D13" s="126" t="s">
        <v>245</v>
      </c>
      <c r="M13" s="124"/>
    </row>
    <row r="14" spans="2:13" ht="16.5" x14ac:dyDescent="0.35">
      <c r="B14" s="123"/>
      <c r="D14" s="126" t="s">
        <v>246</v>
      </c>
      <c r="M14" s="124"/>
    </row>
    <row r="15" spans="2:13" x14ac:dyDescent="0.2">
      <c r="B15" s="123"/>
      <c r="M15" s="124"/>
    </row>
    <row r="16" spans="2:13" x14ac:dyDescent="0.2">
      <c r="B16" s="123"/>
      <c r="D16" s="80" t="s">
        <v>247</v>
      </c>
      <c r="M16" s="124"/>
    </row>
    <row r="17" spans="2:13" x14ac:dyDescent="0.2">
      <c r="B17" s="123"/>
      <c r="D17" s="80" t="s">
        <v>248</v>
      </c>
      <c r="M17" s="124"/>
    </row>
    <row r="18" spans="2:13" x14ac:dyDescent="0.2">
      <c r="B18" s="123"/>
      <c r="D18" s="393" t="s">
        <v>249</v>
      </c>
      <c r="E18" s="393"/>
      <c r="F18" s="393"/>
      <c r="G18" s="393"/>
      <c r="H18" s="393"/>
      <c r="M18" s="124"/>
    </row>
    <row r="19" spans="2:13" x14ac:dyDescent="0.2">
      <c r="B19" s="123"/>
      <c r="M19" s="124"/>
    </row>
    <row r="20" spans="2:13" x14ac:dyDescent="0.2">
      <c r="B20" s="123"/>
      <c r="M20" s="124"/>
    </row>
    <row r="21" spans="2:13" ht="18" x14ac:dyDescent="0.35">
      <c r="B21" s="123"/>
      <c r="D21" s="127" t="s">
        <v>250</v>
      </c>
      <c r="E21" s="125"/>
      <c r="F21" s="125"/>
      <c r="G21" s="125"/>
      <c r="H21" s="125"/>
      <c r="M21" s="124"/>
    </row>
    <row r="22" spans="2:13" x14ac:dyDescent="0.2">
      <c r="B22" s="123"/>
      <c r="M22" s="124"/>
    </row>
    <row r="23" spans="2:13" ht="14.25" x14ac:dyDescent="0.2">
      <c r="B23" s="123"/>
      <c r="D23" s="128" t="s">
        <v>251</v>
      </c>
      <c r="M23" s="124"/>
    </row>
    <row r="24" spans="2:13" ht="14.25" x14ac:dyDescent="0.2">
      <c r="B24" s="123"/>
      <c r="D24" s="128" t="s">
        <v>252</v>
      </c>
      <c r="M24" s="124"/>
    </row>
    <row r="25" spans="2:13" ht="14.25" x14ac:dyDescent="0.2">
      <c r="B25" s="123"/>
      <c r="D25" s="128" t="s">
        <v>253</v>
      </c>
      <c r="M25" s="124"/>
    </row>
    <row r="26" spans="2:13" x14ac:dyDescent="0.2">
      <c r="B26" s="123"/>
      <c r="M26" s="124"/>
    </row>
    <row r="27" spans="2:13" x14ac:dyDescent="0.2">
      <c r="B27" s="123"/>
      <c r="C27" s="393" t="s">
        <v>254</v>
      </c>
      <c r="D27" s="393"/>
      <c r="E27" s="393"/>
      <c r="F27" s="393"/>
      <c r="G27" s="393"/>
      <c r="H27" s="393"/>
      <c r="I27" s="393"/>
      <c r="J27" s="393"/>
      <c r="K27" s="393"/>
      <c r="M27" s="124"/>
    </row>
    <row r="28" spans="2:13" x14ac:dyDescent="0.2">
      <c r="B28" s="123"/>
      <c r="M28" s="124"/>
    </row>
    <row r="29" spans="2:13" x14ac:dyDescent="0.2">
      <c r="B29" s="123"/>
      <c r="D29" s="393" t="s">
        <v>255</v>
      </c>
      <c r="E29" s="393"/>
      <c r="F29" s="393"/>
      <c r="G29" s="393"/>
      <c r="H29" s="393"/>
      <c r="M29" s="124"/>
    </row>
    <row r="30" spans="2:13" x14ac:dyDescent="0.2">
      <c r="B30" s="123"/>
      <c r="M30" s="124"/>
    </row>
    <row r="31" spans="2:13" ht="13.5" thickBot="1" x14ac:dyDescent="0.25">
      <c r="B31" s="129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1"/>
    </row>
  </sheetData>
  <mergeCells count="4">
    <mergeCell ref="E3:K4"/>
    <mergeCell ref="D18:H18"/>
    <mergeCell ref="C27:K27"/>
    <mergeCell ref="D29:H29"/>
  </mergeCells>
  <hyperlinks>
    <hyperlink ref="D18:H18" r:id="rId1" display="http://www.nutritiondata.com/searchbox.html" xr:uid="{313EA6FC-E8D6-4171-A5B4-3E661FB4A687}"/>
    <hyperlink ref="C27" r:id="rId2" xr:uid="{E6A82A55-5AE5-45CD-BAD1-46CEE67D0C2E}"/>
    <hyperlink ref="D29" location="θερμιδομετρητής!A1" display="Δείτε και χρησιμοποιήστε το θερμιδομετρητή " xr:uid="{C1165BF6-1E57-463C-8204-7E5E1D806F10}"/>
    <hyperlink ref="C27:K27" r:id="rId3" display="Για περισσότερα ερωτήματα χρησιμοποιήστε το φύλλο εργασίας " xr:uid="{3BE28E06-6364-4211-83D8-15C425D28207}"/>
  </hyperlinks>
  <pageMargins left="0.75" right="0.75" top="1" bottom="1" header="0.5" footer="0.5"/>
  <pageSetup paperSize="9" orientation="landscape" horizontalDpi="4294967293" verticalDpi="0" r:id="rId4"/>
  <headerFooter alignWithMargins="0">
    <oddHeader xml:space="preserve">&amp;LΛογιστικά Φύλλα &amp;CΕπεξεργασία Δεδομένων&amp;RΘερμιδομετρητής </oddHeader>
    <oddFooter xml:space="preserve">&amp;LΥπουργείο Παιδείας και Πολιτισμού &amp;RΠληροφορική Υποστήριξη για το Μάθημα της Επιστήμης </oddFooter>
  </headerFooter>
  <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3766-B20E-4A59-863F-8BEAF9BE2775}">
  <sheetPr>
    <pageSetUpPr autoPageBreaks="0"/>
  </sheetPr>
  <dimension ref="A1:G186"/>
  <sheetViews>
    <sheetView showGridLines="0" defaultGridColor="0" colorId="50" zoomScaleNormal="100" workbookViewId="0">
      <selection sqref="A1:F1"/>
    </sheetView>
  </sheetViews>
  <sheetFormatPr defaultRowHeight="12.75" x14ac:dyDescent="0.2"/>
  <cols>
    <col min="1" max="1" width="24.7109375" style="145" bestFit="1" customWidth="1"/>
    <col min="2" max="2" width="17.85546875" style="141" customWidth="1"/>
    <col min="3" max="3" width="15.7109375" style="146" customWidth="1"/>
    <col min="4" max="4" width="13.42578125" style="146" bestFit="1" customWidth="1"/>
    <col min="5" max="5" width="19" style="146" customWidth="1"/>
    <col min="6" max="6" width="13.42578125" style="146" customWidth="1"/>
    <col min="7" max="16384" width="9.140625" style="141"/>
  </cols>
  <sheetData>
    <row r="1" spans="1:7" s="80" customFormat="1" ht="19.5" x14ac:dyDescent="0.4">
      <c r="A1" s="394" t="s">
        <v>256</v>
      </c>
      <c r="B1" s="394"/>
      <c r="C1" s="394"/>
      <c r="D1" s="394"/>
      <c r="E1" s="394"/>
      <c r="F1" s="394"/>
      <c r="G1" s="132" t="s">
        <v>257</v>
      </c>
    </row>
    <row r="2" spans="1:7" s="80" customFormat="1" ht="25.5" x14ac:dyDescent="0.2">
      <c r="A2" s="133" t="s">
        <v>258</v>
      </c>
      <c r="B2" s="133" t="s">
        <v>259</v>
      </c>
      <c r="C2" s="134" t="s">
        <v>260</v>
      </c>
      <c r="D2" s="135" t="s">
        <v>261</v>
      </c>
      <c r="E2" s="136" t="s">
        <v>262</v>
      </c>
      <c r="F2" s="136" t="s">
        <v>263</v>
      </c>
    </row>
    <row r="3" spans="1:7" x14ac:dyDescent="0.2">
      <c r="A3" s="137" t="s">
        <v>264</v>
      </c>
      <c r="B3" s="138" t="s">
        <v>265</v>
      </c>
      <c r="C3" s="139">
        <v>164</v>
      </c>
      <c r="D3" s="140">
        <v>2</v>
      </c>
      <c r="E3" s="140">
        <v>4</v>
      </c>
      <c r="F3" s="139">
        <v>15</v>
      </c>
    </row>
    <row r="4" spans="1:7" x14ac:dyDescent="0.2">
      <c r="A4" s="137" t="s">
        <v>266</v>
      </c>
      <c r="B4" s="138" t="s">
        <v>265</v>
      </c>
      <c r="C4" s="139">
        <v>4</v>
      </c>
      <c r="D4" s="140">
        <v>0</v>
      </c>
      <c r="E4" s="140">
        <v>1</v>
      </c>
      <c r="F4" s="139">
        <v>0</v>
      </c>
    </row>
    <row r="5" spans="1:7" x14ac:dyDescent="0.2">
      <c r="A5" s="137" t="s">
        <v>267</v>
      </c>
      <c r="B5" s="138" t="s">
        <v>265</v>
      </c>
      <c r="C5" s="139">
        <v>25</v>
      </c>
      <c r="D5" s="140">
        <v>1</v>
      </c>
      <c r="E5" s="140">
        <v>5</v>
      </c>
      <c r="F5" s="139">
        <v>0</v>
      </c>
    </row>
    <row r="6" spans="1:7" x14ac:dyDescent="0.2">
      <c r="A6" s="137" t="s">
        <v>268</v>
      </c>
      <c r="B6" s="138" t="s">
        <v>269</v>
      </c>
      <c r="C6" s="139">
        <v>53</v>
      </c>
      <c r="D6" s="140">
        <v>1</v>
      </c>
      <c r="E6" s="140">
        <v>12</v>
      </c>
      <c r="F6" s="139">
        <v>0</v>
      </c>
    </row>
    <row r="7" spans="1:7" x14ac:dyDescent="0.2">
      <c r="A7" s="137" t="s">
        <v>270</v>
      </c>
      <c r="B7" s="138" t="s">
        <v>271</v>
      </c>
      <c r="C7" s="139">
        <v>300</v>
      </c>
      <c r="D7" s="140">
        <v>9</v>
      </c>
      <c r="E7" s="140">
        <v>62</v>
      </c>
      <c r="F7" s="139">
        <v>1</v>
      </c>
    </row>
    <row r="8" spans="1:7" x14ac:dyDescent="0.2">
      <c r="A8" s="137" t="s">
        <v>272</v>
      </c>
      <c r="B8" s="138" t="s">
        <v>271</v>
      </c>
      <c r="C8" s="139">
        <v>358</v>
      </c>
      <c r="D8" s="140">
        <v>11</v>
      </c>
      <c r="E8" s="140">
        <v>74</v>
      </c>
      <c r="F8" s="139">
        <v>1</v>
      </c>
    </row>
    <row r="9" spans="1:7" x14ac:dyDescent="0.2">
      <c r="A9" s="137" t="s">
        <v>273</v>
      </c>
      <c r="B9" s="138" t="s">
        <v>274</v>
      </c>
      <c r="C9" s="139">
        <v>642</v>
      </c>
      <c r="D9" s="140">
        <v>18</v>
      </c>
      <c r="E9" s="140">
        <v>16</v>
      </c>
      <c r="F9" s="139">
        <v>54</v>
      </c>
    </row>
    <row r="10" spans="1:7" x14ac:dyDescent="0.2">
      <c r="A10" s="137" t="s">
        <v>275</v>
      </c>
      <c r="B10" s="138" t="s">
        <v>276</v>
      </c>
      <c r="C10" s="139">
        <v>499</v>
      </c>
      <c r="D10" s="140">
        <v>8</v>
      </c>
      <c r="E10" s="140">
        <v>57</v>
      </c>
      <c r="F10" s="139">
        <v>25</v>
      </c>
    </row>
    <row r="11" spans="1:7" x14ac:dyDescent="0.2">
      <c r="A11" s="137" t="s">
        <v>277</v>
      </c>
      <c r="B11" s="138" t="s">
        <v>269</v>
      </c>
      <c r="C11" s="139">
        <v>29</v>
      </c>
      <c r="D11" s="140">
        <v>0</v>
      </c>
      <c r="E11" s="140">
        <v>7</v>
      </c>
      <c r="F11" s="139">
        <v>0</v>
      </c>
    </row>
    <row r="12" spans="1:7" x14ac:dyDescent="0.2">
      <c r="A12" s="137" t="s">
        <v>278</v>
      </c>
      <c r="B12" s="138" t="s">
        <v>279</v>
      </c>
      <c r="C12" s="139">
        <v>140</v>
      </c>
      <c r="D12" s="140">
        <v>0</v>
      </c>
      <c r="E12" s="140">
        <v>39</v>
      </c>
      <c r="F12" s="139">
        <v>0</v>
      </c>
    </row>
    <row r="13" spans="1:7" x14ac:dyDescent="0.2">
      <c r="A13" s="142" t="s">
        <v>280</v>
      </c>
      <c r="B13" s="143" t="s">
        <v>279</v>
      </c>
      <c r="C13" s="144">
        <v>0</v>
      </c>
      <c r="D13" s="144">
        <v>0</v>
      </c>
      <c r="E13" s="144">
        <v>0</v>
      </c>
      <c r="F13" s="144">
        <v>0</v>
      </c>
    </row>
    <row r="14" spans="1:7" x14ac:dyDescent="0.2">
      <c r="A14" s="137" t="s">
        <v>281</v>
      </c>
      <c r="B14" s="138" t="s">
        <v>265</v>
      </c>
      <c r="C14" s="139">
        <v>12</v>
      </c>
      <c r="D14" s="140">
        <v>1</v>
      </c>
      <c r="E14" s="140">
        <v>2</v>
      </c>
      <c r="F14" s="139">
        <v>0</v>
      </c>
    </row>
    <row r="15" spans="1:7" x14ac:dyDescent="0.2">
      <c r="A15" s="137" t="s">
        <v>282</v>
      </c>
      <c r="B15" s="138" t="s">
        <v>265</v>
      </c>
      <c r="C15" s="139">
        <v>74</v>
      </c>
      <c r="D15" s="140">
        <v>2</v>
      </c>
      <c r="E15" s="140">
        <v>16</v>
      </c>
      <c r="F15" s="139">
        <v>0</v>
      </c>
    </row>
    <row r="16" spans="1:7" x14ac:dyDescent="0.2">
      <c r="A16" s="137" t="s">
        <v>283</v>
      </c>
      <c r="B16" s="138" t="s">
        <v>284</v>
      </c>
      <c r="C16" s="139">
        <v>256</v>
      </c>
      <c r="D16" s="140">
        <v>24</v>
      </c>
      <c r="E16" s="140">
        <v>0</v>
      </c>
      <c r="F16" s="139">
        <v>17</v>
      </c>
    </row>
    <row r="17" spans="1:6" x14ac:dyDescent="0.2">
      <c r="A17" s="137" t="s">
        <v>285</v>
      </c>
      <c r="B17" s="138" t="s">
        <v>286</v>
      </c>
      <c r="C17" s="139">
        <v>338</v>
      </c>
      <c r="D17" s="140">
        <v>21</v>
      </c>
      <c r="E17" s="140">
        <v>57</v>
      </c>
      <c r="F17" s="139">
        <v>2</v>
      </c>
    </row>
    <row r="18" spans="1:6" x14ac:dyDescent="0.2">
      <c r="A18" s="137" t="s">
        <v>287</v>
      </c>
      <c r="B18" s="138" t="s">
        <v>288</v>
      </c>
      <c r="C18" s="139">
        <v>49</v>
      </c>
      <c r="D18" s="140">
        <v>11</v>
      </c>
      <c r="E18" s="140">
        <v>1</v>
      </c>
      <c r="F18" s="139">
        <v>15</v>
      </c>
    </row>
    <row r="19" spans="1:6" x14ac:dyDescent="0.2">
      <c r="A19" s="137" t="s">
        <v>289</v>
      </c>
      <c r="B19" s="138" t="s">
        <v>279</v>
      </c>
      <c r="C19" s="139">
        <v>69</v>
      </c>
      <c r="D19" s="140">
        <v>0</v>
      </c>
      <c r="E19" s="140">
        <v>3</v>
      </c>
      <c r="F19" s="139">
        <v>0</v>
      </c>
    </row>
    <row r="20" spans="1:6" x14ac:dyDescent="0.2">
      <c r="A20" s="137" t="s">
        <v>290</v>
      </c>
      <c r="B20" s="138" t="s">
        <v>291</v>
      </c>
      <c r="C20" s="139">
        <v>155</v>
      </c>
      <c r="D20" s="140">
        <v>13</v>
      </c>
      <c r="E20" s="140">
        <v>1</v>
      </c>
      <c r="F20" s="139">
        <v>10</v>
      </c>
    </row>
    <row r="21" spans="1:6" x14ac:dyDescent="0.2">
      <c r="A21" s="137" t="s">
        <v>292</v>
      </c>
      <c r="B21" s="138" t="s">
        <v>291</v>
      </c>
      <c r="C21" s="138">
        <v>200</v>
      </c>
      <c r="D21" s="138">
        <v>13</v>
      </c>
      <c r="E21" s="138">
        <v>1</v>
      </c>
      <c r="F21" s="138">
        <v>15</v>
      </c>
    </row>
    <row r="22" spans="1:6" x14ac:dyDescent="0.2">
      <c r="A22" s="137" t="s">
        <v>293</v>
      </c>
      <c r="B22" s="138" t="s">
        <v>269</v>
      </c>
      <c r="C22" s="139">
        <v>57</v>
      </c>
      <c r="D22" s="140">
        <v>1</v>
      </c>
      <c r="E22" s="140">
        <v>13</v>
      </c>
      <c r="F22" s="139">
        <v>0</v>
      </c>
    </row>
    <row r="23" spans="1:6" x14ac:dyDescent="0.2">
      <c r="A23" s="137" t="s">
        <v>294</v>
      </c>
      <c r="B23" s="138" t="s">
        <v>295</v>
      </c>
      <c r="C23" s="139">
        <v>41</v>
      </c>
      <c r="D23" s="140">
        <v>10</v>
      </c>
      <c r="E23" s="140">
        <v>0</v>
      </c>
      <c r="F23" s="139">
        <v>7</v>
      </c>
    </row>
    <row r="24" spans="1:6" x14ac:dyDescent="0.2">
      <c r="A24" s="137" t="s">
        <v>296</v>
      </c>
      <c r="B24" s="138" t="s">
        <v>269</v>
      </c>
      <c r="C24" s="139">
        <v>41</v>
      </c>
      <c r="D24" s="140">
        <v>1</v>
      </c>
      <c r="E24" s="140">
        <v>9</v>
      </c>
      <c r="F24" s="139">
        <v>0</v>
      </c>
    </row>
    <row r="25" spans="1:6" x14ac:dyDescent="0.2">
      <c r="A25" s="137" t="s">
        <v>297</v>
      </c>
      <c r="B25" s="138" t="s">
        <v>269</v>
      </c>
      <c r="C25" s="139">
        <v>49</v>
      </c>
      <c r="D25" s="140">
        <v>1</v>
      </c>
      <c r="E25" s="140">
        <v>11</v>
      </c>
      <c r="F25" s="139">
        <v>0</v>
      </c>
    </row>
    <row r="26" spans="1:6" x14ac:dyDescent="0.2">
      <c r="A26" s="137" t="s">
        <v>298</v>
      </c>
      <c r="B26" s="138" t="s">
        <v>269</v>
      </c>
      <c r="C26" s="139">
        <v>308</v>
      </c>
      <c r="D26" s="140">
        <v>5</v>
      </c>
      <c r="E26" s="140">
        <v>70</v>
      </c>
      <c r="F26" s="139">
        <v>0</v>
      </c>
    </row>
    <row r="27" spans="1:6" x14ac:dyDescent="0.2">
      <c r="A27" s="137" t="s">
        <v>299</v>
      </c>
      <c r="B27" s="138" t="s">
        <v>279</v>
      </c>
      <c r="C27" s="139">
        <v>99</v>
      </c>
      <c r="D27" s="140">
        <v>0</v>
      </c>
      <c r="E27" s="140">
        <v>1</v>
      </c>
      <c r="F27" s="139">
        <v>0</v>
      </c>
    </row>
    <row r="28" spans="1:6" x14ac:dyDescent="0.2">
      <c r="A28" s="137" t="s">
        <v>300</v>
      </c>
      <c r="B28" s="138" t="s">
        <v>301</v>
      </c>
      <c r="C28" s="139">
        <v>776</v>
      </c>
      <c r="D28" s="140">
        <v>1</v>
      </c>
      <c r="E28" s="140">
        <v>0</v>
      </c>
      <c r="F28" s="139">
        <v>83</v>
      </c>
    </row>
    <row r="29" spans="1:6" x14ac:dyDescent="0.2">
      <c r="A29" s="137" t="s">
        <v>302</v>
      </c>
      <c r="B29" s="138" t="s">
        <v>271</v>
      </c>
      <c r="C29" s="139">
        <v>369</v>
      </c>
      <c r="D29" s="140">
        <v>13</v>
      </c>
      <c r="E29" s="140">
        <v>61</v>
      </c>
      <c r="F29" s="139">
        <v>7</v>
      </c>
    </row>
    <row r="30" spans="1:6" x14ac:dyDescent="0.2">
      <c r="A30" s="137" t="s">
        <v>303</v>
      </c>
      <c r="B30" s="138" t="s">
        <v>304</v>
      </c>
      <c r="C30" s="139">
        <v>62</v>
      </c>
      <c r="D30" s="140">
        <v>4</v>
      </c>
      <c r="E30" s="140">
        <v>10</v>
      </c>
      <c r="F30" s="139" t="s">
        <v>305</v>
      </c>
    </row>
    <row r="31" spans="1:6" x14ac:dyDescent="0.2">
      <c r="A31" s="137" t="s">
        <v>306</v>
      </c>
      <c r="B31" s="138" t="s">
        <v>304</v>
      </c>
      <c r="C31" s="139">
        <v>69</v>
      </c>
      <c r="D31" s="140">
        <v>4</v>
      </c>
      <c r="E31" s="140">
        <v>5</v>
      </c>
      <c r="F31" s="139">
        <v>3.5</v>
      </c>
    </row>
    <row r="32" spans="1:6" x14ac:dyDescent="0.2">
      <c r="A32" s="137" t="s">
        <v>307</v>
      </c>
      <c r="B32" s="138" t="s">
        <v>304</v>
      </c>
      <c r="C32" s="139">
        <v>51</v>
      </c>
      <c r="D32" s="140">
        <v>4</v>
      </c>
      <c r="E32" s="140">
        <v>5</v>
      </c>
      <c r="F32" s="139">
        <v>1.5</v>
      </c>
    </row>
    <row r="33" spans="1:6" x14ac:dyDescent="0.2">
      <c r="A33" s="137" t="s">
        <v>308</v>
      </c>
      <c r="B33" s="138" t="s">
        <v>304</v>
      </c>
      <c r="C33" s="139">
        <v>40</v>
      </c>
      <c r="D33" s="140">
        <v>4</v>
      </c>
      <c r="E33" s="140">
        <v>5</v>
      </c>
      <c r="F33" s="139">
        <v>0.3</v>
      </c>
    </row>
    <row r="34" spans="1:6" x14ac:dyDescent="0.2">
      <c r="A34" s="137" t="s">
        <v>309</v>
      </c>
      <c r="B34" s="138" t="s">
        <v>284</v>
      </c>
      <c r="C34" s="139">
        <v>122</v>
      </c>
      <c r="D34" s="140">
        <v>23</v>
      </c>
      <c r="E34" s="140">
        <v>0</v>
      </c>
      <c r="F34" s="139">
        <v>3</v>
      </c>
    </row>
    <row r="35" spans="1:6" x14ac:dyDescent="0.2">
      <c r="A35" s="137" t="s">
        <v>310</v>
      </c>
      <c r="B35" s="138" t="s">
        <v>295</v>
      </c>
      <c r="C35" s="139">
        <v>87</v>
      </c>
      <c r="D35" s="140">
        <v>19</v>
      </c>
      <c r="E35" s="140">
        <v>0</v>
      </c>
      <c r="F35" s="139">
        <v>1</v>
      </c>
    </row>
    <row r="36" spans="1:6" x14ac:dyDescent="0.2">
      <c r="A36" s="137" t="s">
        <v>311</v>
      </c>
      <c r="B36" s="138" t="s">
        <v>304</v>
      </c>
      <c r="C36" s="139">
        <v>74</v>
      </c>
      <c r="D36" s="140">
        <v>5</v>
      </c>
      <c r="E36" s="140">
        <v>5</v>
      </c>
      <c r="F36" s="139">
        <v>3.5</v>
      </c>
    </row>
    <row r="37" spans="1:6" x14ac:dyDescent="0.2">
      <c r="A37" s="137" t="s">
        <v>312</v>
      </c>
      <c r="B37" s="138" t="s">
        <v>304</v>
      </c>
      <c r="C37" s="139">
        <v>44</v>
      </c>
      <c r="D37" s="140">
        <v>5</v>
      </c>
      <c r="E37" s="140">
        <v>5</v>
      </c>
      <c r="F37" s="139">
        <v>0.3</v>
      </c>
    </row>
    <row r="38" spans="1:6" x14ac:dyDescent="0.2">
      <c r="A38" s="137" t="s">
        <v>313</v>
      </c>
      <c r="B38" s="138" t="s">
        <v>304</v>
      </c>
      <c r="C38" s="139">
        <v>51</v>
      </c>
      <c r="D38" s="140">
        <v>4</v>
      </c>
      <c r="E38" s="140">
        <v>5</v>
      </c>
      <c r="F38" s="139">
        <v>1.5</v>
      </c>
    </row>
    <row r="39" spans="1:6" x14ac:dyDescent="0.2">
      <c r="A39" s="137" t="s">
        <v>314</v>
      </c>
      <c r="B39" s="138" t="s">
        <v>304</v>
      </c>
      <c r="C39" s="139">
        <v>106</v>
      </c>
      <c r="D39" s="140">
        <v>4</v>
      </c>
      <c r="E39" s="140">
        <v>15</v>
      </c>
      <c r="F39" s="139">
        <v>3</v>
      </c>
    </row>
    <row r="40" spans="1:6" x14ac:dyDescent="0.2">
      <c r="A40" s="137" t="s">
        <v>315</v>
      </c>
      <c r="B40" s="138" t="s">
        <v>269</v>
      </c>
      <c r="C40" s="139">
        <v>33</v>
      </c>
      <c r="D40" s="140">
        <v>1</v>
      </c>
      <c r="E40" s="140">
        <v>7</v>
      </c>
      <c r="F40" s="139">
        <v>0</v>
      </c>
    </row>
    <row r="41" spans="1:6" x14ac:dyDescent="0.2">
      <c r="A41" s="137" t="s">
        <v>316</v>
      </c>
      <c r="B41" s="138" t="s">
        <v>276</v>
      </c>
      <c r="C41" s="139">
        <v>410</v>
      </c>
      <c r="D41" s="140">
        <v>0</v>
      </c>
      <c r="E41" s="140">
        <v>100</v>
      </c>
      <c r="F41" s="139">
        <v>0</v>
      </c>
    </row>
    <row r="42" spans="1:6" x14ac:dyDescent="0.2">
      <c r="A42" s="137" t="s">
        <v>317</v>
      </c>
      <c r="B42" s="138" t="s">
        <v>269</v>
      </c>
      <c r="C42" s="139">
        <v>62</v>
      </c>
      <c r="D42" s="140">
        <v>1</v>
      </c>
      <c r="E42" s="140">
        <v>14</v>
      </c>
      <c r="F42" s="139">
        <v>0</v>
      </c>
    </row>
    <row r="43" spans="1:6" x14ac:dyDescent="0.2">
      <c r="A43" s="137" t="s">
        <v>318</v>
      </c>
      <c r="B43" s="138" t="s">
        <v>269</v>
      </c>
      <c r="C43" s="139">
        <v>250</v>
      </c>
      <c r="D43" s="140">
        <v>2</v>
      </c>
      <c r="E43" s="140">
        <v>59</v>
      </c>
      <c r="F43" s="139">
        <v>0</v>
      </c>
    </row>
    <row r="44" spans="1:6" x14ac:dyDescent="0.2">
      <c r="A44" s="137" t="s">
        <v>319</v>
      </c>
      <c r="B44" s="138" t="s">
        <v>271</v>
      </c>
      <c r="C44" s="139">
        <v>382</v>
      </c>
      <c r="D44" s="140">
        <v>8</v>
      </c>
      <c r="E44" s="140">
        <v>83</v>
      </c>
      <c r="F44" s="139">
        <v>1</v>
      </c>
    </row>
    <row r="45" spans="1:6" x14ac:dyDescent="0.2">
      <c r="A45" s="137" t="s">
        <v>320</v>
      </c>
      <c r="B45" s="138" t="s">
        <v>321</v>
      </c>
      <c r="C45" s="139">
        <v>930</v>
      </c>
      <c r="D45" s="140">
        <v>0</v>
      </c>
      <c r="E45" s="140">
        <v>0</v>
      </c>
      <c r="F45" s="139">
        <v>100</v>
      </c>
    </row>
    <row r="46" spans="1:6" x14ac:dyDescent="0.2">
      <c r="A46" s="137" t="s">
        <v>322</v>
      </c>
      <c r="B46" s="138" t="s">
        <v>265</v>
      </c>
      <c r="C46" s="139">
        <v>134</v>
      </c>
      <c r="D46" s="140">
        <v>1</v>
      </c>
      <c r="E46" s="140">
        <v>0</v>
      </c>
      <c r="F46" s="139">
        <v>14</v>
      </c>
    </row>
    <row r="47" spans="1:6" x14ac:dyDescent="0.2">
      <c r="A47" s="137" t="s">
        <v>323</v>
      </c>
      <c r="B47" s="138" t="s">
        <v>284</v>
      </c>
      <c r="C47" s="139">
        <v>335</v>
      </c>
      <c r="D47" s="140">
        <v>16</v>
      </c>
      <c r="E47" s="140">
        <v>0</v>
      </c>
      <c r="F47" s="139">
        <v>29</v>
      </c>
    </row>
    <row r="48" spans="1:6" x14ac:dyDescent="0.2">
      <c r="A48" s="137" t="s">
        <v>324</v>
      </c>
      <c r="B48" s="138" t="s">
        <v>276</v>
      </c>
      <c r="C48" s="139">
        <v>410</v>
      </c>
      <c r="D48" s="140">
        <v>0</v>
      </c>
      <c r="E48" s="140">
        <v>100</v>
      </c>
      <c r="F48" s="139">
        <v>0</v>
      </c>
    </row>
    <row r="49" spans="1:6" x14ac:dyDescent="0.2">
      <c r="A49" s="137" t="s">
        <v>325</v>
      </c>
      <c r="B49" s="138" t="s">
        <v>321</v>
      </c>
      <c r="C49" s="139">
        <v>930</v>
      </c>
      <c r="D49" s="140">
        <v>0</v>
      </c>
      <c r="E49" s="140">
        <v>0</v>
      </c>
      <c r="F49" s="139">
        <v>100</v>
      </c>
    </row>
    <row r="50" spans="1:6" x14ac:dyDescent="0.2">
      <c r="A50" s="137" t="s">
        <v>326</v>
      </c>
      <c r="B50" s="138" t="s">
        <v>276</v>
      </c>
      <c r="C50" s="139">
        <v>470</v>
      </c>
      <c r="D50" s="140">
        <v>20</v>
      </c>
      <c r="E50" s="140">
        <v>38</v>
      </c>
      <c r="F50" s="139">
        <v>25</v>
      </c>
    </row>
    <row r="51" spans="1:6" x14ac:dyDescent="0.2">
      <c r="A51" s="137" t="s">
        <v>327</v>
      </c>
      <c r="B51" s="138" t="s">
        <v>295</v>
      </c>
      <c r="C51" s="139">
        <v>59</v>
      </c>
      <c r="D51" s="140">
        <v>12</v>
      </c>
      <c r="E51" s="140">
        <v>0</v>
      </c>
      <c r="F51" s="139">
        <v>1</v>
      </c>
    </row>
    <row r="52" spans="1:6" x14ac:dyDescent="0.2">
      <c r="A52" s="137" t="s">
        <v>328</v>
      </c>
      <c r="B52" s="138" t="s">
        <v>271</v>
      </c>
      <c r="C52" s="139">
        <v>341</v>
      </c>
      <c r="D52" s="140">
        <v>9</v>
      </c>
      <c r="E52" s="140">
        <v>65</v>
      </c>
      <c r="F52" s="139">
        <v>4</v>
      </c>
    </row>
    <row r="53" spans="1:6" x14ac:dyDescent="0.2">
      <c r="A53" s="137" t="s">
        <v>329</v>
      </c>
      <c r="B53" s="138" t="s">
        <v>295</v>
      </c>
      <c r="C53" s="139">
        <v>141</v>
      </c>
      <c r="D53" s="140">
        <v>14</v>
      </c>
      <c r="E53" s="140">
        <v>0</v>
      </c>
      <c r="F53" s="139">
        <v>9</v>
      </c>
    </row>
    <row r="54" spans="1:6" x14ac:dyDescent="0.2">
      <c r="A54" s="137" t="s">
        <v>330</v>
      </c>
      <c r="B54" s="138" t="s">
        <v>284</v>
      </c>
      <c r="C54" s="139">
        <v>266</v>
      </c>
      <c r="D54" s="140">
        <v>15</v>
      </c>
      <c r="E54" s="140">
        <v>0</v>
      </c>
      <c r="F54" s="139">
        <v>22</v>
      </c>
    </row>
    <row r="55" spans="1:6" x14ac:dyDescent="0.2">
      <c r="A55" s="137" t="s">
        <v>331</v>
      </c>
      <c r="B55" s="138" t="s">
        <v>276</v>
      </c>
      <c r="C55" s="139">
        <v>403</v>
      </c>
      <c r="D55" s="140">
        <v>3</v>
      </c>
      <c r="E55" s="140">
        <v>84</v>
      </c>
      <c r="F55" s="139">
        <v>5</v>
      </c>
    </row>
    <row r="56" spans="1:6" x14ac:dyDescent="0.2">
      <c r="A56" s="137" t="s">
        <v>332</v>
      </c>
      <c r="B56" s="138" t="s">
        <v>265</v>
      </c>
      <c r="C56" s="139">
        <v>29</v>
      </c>
      <c r="D56" s="140">
        <v>1</v>
      </c>
      <c r="E56" s="140">
        <v>6</v>
      </c>
      <c r="F56" s="139">
        <v>0</v>
      </c>
    </row>
    <row r="57" spans="1:6" x14ac:dyDescent="0.2">
      <c r="A57" s="137" t="s">
        <v>333</v>
      </c>
      <c r="B57" s="138" t="s">
        <v>269</v>
      </c>
      <c r="C57" s="139">
        <v>20</v>
      </c>
      <c r="D57" s="140">
        <v>0</v>
      </c>
      <c r="E57" s="140">
        <v>3</v>
      </c>
      <c r="F57" s="139">
        <v>0</v>
      </c>
    </row>
    <row r="58" spans="1:6" x14ac:dyDescent="0.2">
      <c r="A58" s="137" t="s">
        <v>334</v>
      </c>
      <c r="B58" s="138" t="s">
        <v>274</v>
      </c>
      <c r="C58" s="139">
        <v>402</v>
      </c>
      <c r="D58" s="140">
        <v>4</v>
      </c>
      <c r="E58" s="140">
        <v>10</v>
      </c>
      <c r="F58" s="139">
        <v>37</v>
      </c>
    </row>
    <row r="59" spans="1:6" x14ac:dyDescent="0.2">
      <c r="A59" s="137" t="s">
        <v>335</v>
      </c>
      <c r="B59" s="138" t="s">
        <v>274</v>
      </c>
      <c r="C59" s="139">
        <v>709</v>
      </c>
      <c r="D59" s="140">
        <v>14</v>
      </c>
      <c r="E59" s="140">
        <v>7</v>
      </c>
      <c r="F59" s="139">
        <v>67</v>
      </c>
    </row>
    <row r="60" spans="1:6" x14ac:dyDescent="0.2">
      <c r="A60" s="137" t="s">
        <v>336</v>
      </c>
      <c r="B60" s="138" t="s">
        <v>274</v>
      </c>
      <c r="C60" s="139">
        <v>194</v>
      </c>
      <c r="D60" s="140">
        <v>3</v>
      </c>
      <c r="E60" s="140">
        <v>42</v>
      </c>
      <c r="F60" s="139">
        <v>1</v>
      </c>
    </row>
    <row r="61" spans="1:6" x14ac:dyDescent="0.2">
      <c r="A61" s="137" t="s">
        <v>337</v>
      </c>
      <c r="B61" s="97"/>
      <c r="C61" s="139">
        <v>229</v>
      </c>
      <c r="D61" s="140">
        <v>3</v>
      </c>
      <c r="E61" s="140">
        <v>37</v>
      </c>
      <c r="F61" s="139">
        <v>7</v>
      </c>
    </row>
    <row r="62" spans="1:6" x14ac:dyDescent="0.2">
      <c r="A62" s="137" t="s">
        <v>338</v>
      </c>
      <c r="B62" s="138" t="s">
        <v>269</v>
      </c>
      <c r="C62" s="139">
        <v>57</v>
      </c>
      <c r="D62" s="140">
        <v>1</v>
      </c>
      <c r="E62" s="140">
        <v>13</v>
      </c>
      <c r="F62" s="139">
        <v>0</v>
      </c>
    </row>
    <row r="63" spans="1:6" x14ac:dyDescent="0.2">
      <c r="A63" s="137" t="s">
        <v>339</v>
      </c>
      <c r="B63" s="138" t="s">
        <v>265</v>
      </c>
      <c r="C63" s="139">
        <v>12</v>
      </c>
      <c r="D63" s="140">
        <v>1</v>
      </c>
      <c r="E63" s="140">
        <v>2</v>
      </c>
      <c r="F63" s="139">
        <v>0</v>
      </c>
    </row>
    <row r="64" spans="1:6" x14ac:dyDescent="0.2">
      <c r="A64" s="137" t="s">
        <v>340</v>
      </c>
      <c r="B64" s="138" t="s">
        <v>279</v>
      </c>
      <c r="C64" s="139">
        <v>67</v>
      </c>
      <c r="D64" s="140">
        <v>0</v>
      </c>
      <c r="E64" s="140">
        <v>3</v>
      </c>
      <c r="F64" s="139">
        <v>0</v>
      </c>
    </row>
    <row r="65" spans="1:6" x14ac:dyDescent="0.2">
      <c r="A65" s="137" t="s">
        <v>341</v>
      </c>
      <c r="B65" s="138" t="s">
        <v>265</v>
      </c>
      <c r="C65" s="139">
        <v>21</v>
      </c>
      <c r="D65" s="140">
        <v>1</v>
      </c>
      <c r="E65" s="140">
        <v>4</v>
      </c>
      <c r="F65" s="139">
        <v>0</v>
      </c>
    </row>
    <row r="66" spans="1:6" x14ac:dyDescent="0.2">
      <c r="A66" s="137" t="s">
        <v>342</v>
      </c>
      <c r="B66" s="138" t="s">
        <v>265</v>
      </c>
      <c r="C66" s="139">
        <v>21</v>
      </c>
      <c r="D66" s="140">
        <v>1</v>
      </c>
      <c r="E66" s="140">
        <v>4</v>
      </c>
      <c r="F66" s="139">
        <v>0</v>
      </c>
    </row>
    <row r="67" spans="1:6" x14ac:dyDescent="0.2">
      <c r="A67" s="137" t="s">
        <v>343</v>
      </c>
      <c r="B67" s="138" t="s">
        <v>265</v>
      </c>
      <c r="C67" s="139">
        <v>16</v>
      </c>
      <c r="D67" s="140">
        <v>2</v>
      </c>
      <c r="E67" s="140">
        <v>2</v>
      </c>
      <c r="F67" s="139">
        <v>0</v>
      </c>
    </row>
    <row r="68" spans="1:6" x14ac:dyDescent="0.2">
      <c r="A68" s="137" t="s">
        <v>344</v>
      </c>
      <c r="B68" s="138" t="s">
        <v>279</v>
      </c>
      <c r="C68" s="139">
        <v>244</v>
      </c>
      <c r="D68" s="140">
        <v>0</v>
      </c>
      <c r="E68" s="140">
        <v>2</v>
      </c>
      <c r="F68" s="139">
        <v>0</v>
      </c>
    </row>
    <row r="69" spans="1:6" x14ac:dyDescent="0.2">
      <c r="A69" s="137" t="s">
        <v>345</v>
      </c>
      <c r="B69" s="138" t="s">
        <v>284</v>
      </c>
      <c r="C69" s="139">
        <v>99</v>
      </c>
      <c r="D69" s="140">
        <v>15</v>
      </c>
      <c r="E69" s="140">
        <v>0</v>
      </c>
      <c r="F69" s="139">
        <v>4</v>
      </c>
    </row>
    <row r="70" spans="1:6" x14ac:dyDescent="0.2">
      <c r="A70" s="137" t="s">
        <v>346</v>
      </c>
      <c r="B70" s="138" t="s">
        <v>276</v>
      </c>
      <c r="C70" s="139">
        <v>433</v>
      </c>
      <c r="D70" s="140">
        <v>8</v>
      </c>
      <c r="E70" s="140">
        <v>75</v>
      </c>
      <c r="F70" s="139">
        <v>10</v>
      </c>
    </row>
    <row r="71" spans="1:6" x14ac:dyDescent="0.2">
      <c r="A71" s="137" t="s">
        <v>347</v>
      </c>
      <c r="B71" s="138" t="s">
        <v>265</v>
      </c>
      <c r="C71" s="139">
        <v>16</v>
      </c>
      <c r="D71" s="140">
        <v>2</v>
      </c>
      <c r="E71" s="140">
        <v>2</v>
      </c>
      <c r="F71" s="139">
        <v>0</v>
      </c>
    </row>
    <row r="72" spans="1:6" x14ac:dyDescent="0.2">
      <c r="A72" s="137" t="s">
        <v>348</v>
      </c>
      <c r="B72" s="138" t="s">
        <v>279</v>
      </c>
      <c r="C72" s="139">
        <v>37</v>
      </c>
      <c r="D72" s="140">
        <v>0</v>
      </c>
      <c r="E72" s="140">
        <v>3</v>
      </c>
      <c r="F72" s="139">
        <v>0</v>
      </c>
    </row>
    <row r="73" spans="1:6" x14ac:dyDescent="0.2">
      <c r="A73" s="137" t="s">
        <v>349</v>
      </c>
      <c r="B73" s="138" t="s">
        <v>265</v>
      </c>
      <c r="C73" s="139">
        <v>41</v>
      </c>
      <c r="D73" s="140">
        <v>1</v>
      </c>
      <c r="E73" s="140">
        <v>9</v>
      </c>
      <c r="F73" s="139">
        <v>0</v>
      </c>
    </row>
    <row r="74" spans="1:6" x14ac:dyDescent="0.2">
      <c r="A74" s="137" t="s">
        <v>350</v>
      </c>
      <c r="B74" s="138" t="s">
        <v>271</v>
      </c>
      <c r="C74" s="139">
        <v>302</v>
      </c>
      <c r="D74" s="140">
        <v>11</v>
      </c>
      <c r="E74" s="140">
        <v>58</v>
      </c>
      <c r="F74" s="139">
        <v>2</v>
      </c>
    </row>
    <row r="75" spans="1:6" x14ac:dyDescent="0.2">
      <c r="A75" s="137" t="s">
        <v>351</v>
      </c>
      <c r="B75" s="138" t="s">
        <v>295</v>
      </c>
      <c r="C75" s="139">
        <v>69</v>
      </c>
      <c r="D75" s="140">
        <v>10</v>
      </c>
      <c r="E75" s="140">
        <v>0</v>
      </c>
      <c r="F75" s="139">
        <v>3</v>
      </c>
    </row>
    <row r="76" spans="1:6" x14ac:dyDescent="0.2">
      <c r="A76" s="137" t="s">
        <v>352</v>
      </c>
      <c r="B76" s="138" t="s">
        <v>284</v>
      </c>
      <c r="C76" s="139">
        <v>105</v>
      </c>
      <c r="D76" s="140">
        <v>17</v>
      </c>
      <c r="E76" s="140">
        <v>0</v>
      </c>
      <c r="F76" s="139">
        <v>2</v>
      </c>
    </row>
    <row r="77" spans="1:6" x14ac:dyDescent="0.2">
      <c r="A77" s="137" t="s">
        <v>353</v>
      </c>
      <c r="B77" s="138" t="s">
        <v>321</v>
      </c>
      <c r="C77" s="139">
        <v>930</v>
      </c>
      <c r="D77" s="140">
        <v>0</v>
      </c>
      <c r="E77" s="140">
        <v>0</v>
      </c>
      <c r="F77" s="139">
        <v>100</v>
      </c>
    </row>
    <row r="78" spans="1:6" x14ac:dyDescent="0.2">
      <c r="A78" s="137" t="s">
        <v>354</v>
      </c>
      <c r="B78" s="138" t="s">
        <v>265</v>
      </c>
      <c r="C78" s="139">
        <v>16</v>
      </c>
      <c r="D78" s="140">
        <v>1</v>
      </c>
      <c r="E78" s="140">
        <v>3</v>
      </c>
      <c r="F78" s="139">
        <v>0</v>
      </c>
    </row>
    <row r="79" spans="1:6" x14ac:dyDescent="0.2">
      <c r="A79" s="137" t="s">
        <v>355</v>
      </c>
      <c r="B79" s="138" t="s">
        <v>279</v>
      </c>
      <c r="C79" s="139">
        <v>49</v>
      </c>
      <c r="D79" s="140">
        <v>0</v>
      </c>
      <c r="E79" s="140">
        <v>12</v>
      </c>
      <c r="F79" s="139">
        <v>0</v>
      </c>
    </row>
    <row r="80" spans="1:6" x14ac:dyDescent="0.2">
      <c r="A80" s="137" t="s">
        <v>356</v>
      </c>
      <c r="B80" s="138" t="s">
        <v>269</v>
      </c>
      <c r="C80" s="139">
        <v>25</v>
      </c>
      <c r="D80" s="140">
        <v>1</v>
      </c>
      <c r="E80" s="140">
        <v>5</v>
      </c>
      <c r="F80" s="139">
        <v>0</v>
      </c>
    </row>
    <row r="81" spans="1:6" ht="25.5" x14ac:dyDescent="0.2">
      <c r="A81" s="137" t="s">
        <v>357</v>
      </c>
      <c r="B81" s="138" t="s">
        <v>284</v>
      </c>
      <c r="C81" s="139">
        <v>249</v>
      </c>
      <c r="D81" s="140">
        <v>13</v>
      </c>
      <c r="E81" s="140">
        <v>0</v>
      </c>
      <c r="F81" s="139">
        <v>21</v>
      </c>
    </row>
    <row r="82" spans="1:6" x14ac:dyDescent="0.2">
      <c r="A82" s="137" t="s">
        <v>358</v>
      </c>
      <c r="B82" s="138" t="s">
        <v>284</v>
      </c>
      <c r="C82" s="139">
        <v>238</v>
      </c>
      <c r="D82" s="140">
        <v>15</v>
      </c>
      <c r="E82" s="140">
        <v>0</v>
      </c>
      <c r="F82" s="139">
        <v>19</v>
      </c>
    </row>
    <row r="83" spans="1:6" x14ac:dyDescent="0.2">
      <c r="A83" s="137" t="s">
        <v>359</v>
      </c>
      <c r="B83" s="138" t="s">
        <v>284</v>
      </c>
      <c r="C83" s="139">
        <v>112</v>
      </c>
      <c r="D83" s="140">
        <v>16</v>
      </c>
      <c r="E83" s="140">
        <v>0</v>
      </c>
      <c r="F83" s="139">
        <v>5</v>
      </c>
    </row>
    <row r="84" spans="1:6" x14ac:dyDescent="0.2">
      <c r="A84" s="137" t="s">
        <v>360</v>
      </c>
      <c r="B84" s="138" t="s">
        <v>284</v>
      </c>
      <c r="C84" s="139">
        <v>324</v>
      </c>
      <c r="D84" s="140">
        <v>11</v>
      </c>
      <c r="E84" s="140">
        <v>0</v>
      </c>
      <c r="F84" s="139">
        <v>30</v>
      </c>
    </row>
    <row r="85" spans="1:6" x14ac:dyDescent="0.2">
      <c r="A85" s="137" t="s">
        <v>361</v>
      </c>
      <c r="B85" s="138" t="s">
        <v>269</v>
      </c>
      <c r="C85" s="139">
        <v>57</v>
      </c>
      <c r="D85" s="140">
        <v>1</v>
      </c>
      <c r="E85" s="140">
        <v>13</v>
      </c>
      <c r="F85" s="139">
        <v>0</v>
      </c>
    </row>
    <row r="86" spans="1:6" x14ac:dyDescent="0.2">
      <c r="A86" s="137" t="s">
        <v>362</v>
      </c>
      <c r="B86" s="138" t="s">
        <v>269</v>
      </c>
      <c r="C86" s="139">
        <v>49</v>
      </c>
      <c r="D86" s="140">
        <v>1</v>
      </c>
      <c r="E86" s="140">
        <v>11</v>
      </c>
      <c r="F86" s="139">
        <v>0</v>
      </c>
    </row>
    <row r="87" spans="1:6" x14ac:dyDescent="0.2">
      <c r="A87" s="137" t="s">
        <v>363</v>
      </c>
      <c r="B87" s="138" t="s">
        <v>265</v>
      </c>
      <c r="C87" s="139">
        <v>37</v>
      </c>
      <c r="D87" s="140">
        <v>3</v>
      </c>
      <c r="E87" s="140">
        <v>6</v>
      </c>
      <c r="F87" s="139">
        <v>0</v>
      </c>
    </row>
    <row r="88" spans="1:6" x14ac:dyDescent="0.2">
      <c r="A88" s="137" t="s">
        <v>364</v>
      </c>
      <c r="B88" s="138" t="s">
        <v>271</v>
      </c>
      <c r="C88" s="139">
        <v>376</v>
      </c>
      <c r="D88" s="140">
        <v>13</v>
      </c>
      <c r="E88" s="140">
        <v>72</v>
      </c>
      <c r="F88" s="139">
        <v>3</v>
      </c>
    </row>
    <row r="89" spans="1:6" ht="25.5" x14ac:dyDescent="0.2">
      <c r="A89" s="137" t="s">
        <v>365</v>
      </c>
      <c r="B89" s="138" t="s">
        <v>271</v>
      </c>
      <c r="C89" s="139">
        <v>352</v>
      </c>
      <c r="D89" s="140">
        <v>15</v>
      </c>
      <c r="E89" s="140">
        <v>64</v>
      </c>
      <c r="F89" s="139">
        <v>3</v>
      </c>
    </row>
    <row r="90" spans="1:6" x14ac:dyDescent="0.2">
      <c r="A90" s="137" t="s">
        <v>366</v>
      </c>
      <c r="B90" s="138" t="s">
        <v>304</v>
      </c>
      <c r="C90" s="138">
        <v>194</v>
      </c>
      <c r="D90" s="138">
        <v>26</v>
      </c>
      <c r="E90" s="138">
        <v>1</v>
      </c>
      <c r="F90" s="138">
        <v>9</v>
      </c>
    </row>
    <row r="91" spans="1:6" x14ac:dyDescent="0.2">
      <c r="A91" s="137" t="s">
        <v>367</v>
      </c>
      <c r="B91" s="138" t="s">
        <v>265</v>
      </c>
      <c r="C91" s="139">
        <v>12</v>
      </c>
      <c r="D91" s="140">
        <v>1</v>
      </c>
      <c r="E91" s="140">
        <v>2</v>
      </c>
      <c r="F91" s="139">
        <v>0</v>
      </c>
    </row>
    <row r="92" spans="1:6" x14ac:dyDescent="0.2">
      <c r="A92" s="137" t="s">
        <v>368</v>
      </c>
      <c r="B92" s="138" t="s">
        <v>269</v>
      </c>
      <c r="C92" s="139">
        <v>37</v>
      </c>
      <c r="D92" s="140">
        <v>1</v>
      </c>
      <c r="E92" s="140">
        <v>8</v>
      </c>
      <c r="F92" s="139">
        <v>0</v>
      </c>
    </row>
    <row r="93" spans="1:6" x14ac:dyDescent="0.2">
      <c r="A93" s="137" t="s">
        <v>369</v>
      </c>
      <c r="B93" s="138" t="s">
        <v>321</v>
      </c>
      <c r="C93" s="139">
        <v>748</v>
      </c>
      <c r="D93" s="140">
        <v>1</v>
      </c>
      <c r="E93" s="140">
        <v>0</v>
      </c>
      <c r="F93" s="139">
        <v>80</v>
      </c>
    </row>
    <row r="94" spans="1:6" x14ac:dyDescent="0.2">
      <c r="A94" s="137" t="s">
        <v>370</v>
      </c>
      <c r="B94" s="138" t="s">
        <v>321</v>
      </c>
      <c r="C94" s="139">
        <v>397</v>
      </c>
      <c r="D94" s="140">
        <v>6</v>
      </c>
      <c r="E94" s="140">
        <v>0</v>
      </c>
      <c r="F94" s="139">
        <v>40</v>
      </c>
    </row>
    <row r="95" spans="1:6" x14ac:dyDescent="0.2">
      <c r="A95" s="137" t="s">
        <v>371</v>
      </c>
      <c r="B95" s="138" t="s">
        <v>276</v>
      </c>
      <c r="C95" s="139">
        <v>271</v>
      </c>
      <c r="D95" s="140">
        <v>0</v>
      </c>
      <c r="E95" s="140">
        <v>66</v>
      </c>
      <c r="F95" s="139">
        <v>0</v>
      </c>
    </row>
    <row r="96" spans="1:6" x14ac:dyDescent="0.2">
      <c r="A96" s="137" t="s">
        <v>372</v>
      </c>
      <c r="B96" s="138" t="s">
        <v>265</v>
      </c>
      <c r="C96" s="139">
        <v>8</v>
      </c>
      <c r="D96" s="140">
        <v>1</v>
      </c>
      <c r="E96" s="140">
        <v>1</v>
      </c>
      <c r="F96" s="139">
        <v>0</v>
      </c>
    </row>
    <row r="97" spans="1:6" x14ac:dyDescent="0.2">
      <c r="A97" s="137" t="s">
        <v>373</v>
      </c>
      <c r="B97" s="138" t="s">
        <v>276</v>
      </c>
      <c r="C97" s="139">
        <v>332</v>
      </c>
      <c r="D97" s="140">
        <v>0</v>
      </c>
      <c r="E97" s="140">
        <v>81</v>
      </c>
      <c r="F97" s="139">
        <v>0</v>
      </c>
    </row>
    <row r="98" spans="1:6" x14ac:dyDescent="0.2">
      <c r="A98" s="137" t="s">
        <v>374</v>
      </c>
      <c r="B98" s="138" t="s">
        <v>265</v>
      </c>
      <c r="C98" s="139">
        <v>21</v>
      </c>
      <c r="D98" s="140">
        <v>1</v>
      </c>
      <c r="E98" s="140">
        <v>4</v>
      </c>
      <c r="F98" s="139">
        <v>0</v>
      </c>
    </row>
    <row r="99" spans="1:6" x14ac:dyDescent="0.2">
      <c r="A99" s="137" t="s">
        <v>375</v>
      </c>
      <c r="B99" s="138" t="s">
        <v>269</v>
      </c>
      <c r="C99" s="139">
        <v>49</v>
      </c>
      <c r="D99" s="140">
        <v>0</v>
      </c>
      <c r="E99" s="140">
        <v>12</v>
      </c>
      <c r="F99" s="139">
        <v>0</v>
      </c>
    </row>
    <row r="100" spans="1:6" x14ac:dyDescent="0.2">
      <c r="A100" s="137" t="s">
        <v>376</v>
      </c>
      <c r="B100" s="138" t="s">
        <v>284</v>
      </c>
      <c r="C100" s="139">
        <v>347</v>
      </c>
      <c r="D100" s="140">
        <v>12</v>
      </c>
      <c r="E100" s="140">
        <v>0</v>
      </c>
      <c r="F100" s="139">
        <v>32</v>
      </c>
    </row>
    <row r="101" spans="1:6" x14ac:dyDescent="0.2">
      <c r="A101" s="137" t="s">
        <v>377</v>
      </c>
      <c r="B101" s="138" t="s">
        <v>284</v>
      </c>
      <c r="C101" s="139">
        <v>94</v>
      </c>
      <c r="D101" s="140">
        <v>16</v>
      </c>
      <c r="E101" s="140">
        <v>0</v>
      </c>
      <c r="F101" s="139">
        <v>3</v>
      </c>
    </row>
    <row r="102" spans="1:6" x14ac:dyDescent="0.2">
      <c r="A102" s="137" t="s">
        <v>378</v>
      </c>
      <c r="B102" s="138" t="s">
        <v>295</v>
      </c>
      <c r="C102" s="139">
        <v>70</v>
      </c>
      <c r="D102" s="140">
        <v>17</v>
      </c>
      <c r="E102" s="140">
        <v>0</v>
      </c>
      <c r="F102" s="139">
        <v>0</v>
      </c>
    </row>
    <row r="103" spans="1:6" x14ac:dyDescent="0.2">
      <c r="A103" s="137" t="s">
        <v>379</v>
      </c>
      <c r="B103" s="138" t="s">
        <v>269</v>
      </c>
      <c r="C103" s="139">
        <v>70</v>
      </c>
      <c r="D103" s="140">
        <v>1</v>
      </c>
      <c r="E103" s="140">
        <v>16</v>
      </c>
      <c r="F103" s="139">
        <v>0</v>
      </c>
    </row>
    <row r="104" spans="1:6" x14ac:dyDescent="0.2">
      <c r="A104" s="137" t="s">
        <v>380</v>
      </c>
      <c r="B104" s="138" t="s">
        <v>284</v>
      </c>
      <c r="C104" s="139">
        <v>752</v>
      </c>
      <c r="D104" s="140">
        <v>2</v>
      </c>
      <c r="E104" s="140">
        <v>0</v>
      </c>
      <c r="F104" s="139">
        <v>80</v>
      </c>
    </row>
    <row r="105" spans="1:6" x14ac:dyDescent="0.2">
      <c r="A105" s="137" t="s">
        <v>381</v>
      </c>
      <c r="B105" s="138" t="s">
        <v>265</v>
      </c>
      <c r="C105" s="139">
        <v>37</v>
      </c>
      <c r="D105" s="140">
        <v>3</v>
      </c>
      <c r="E105" s="140">
        <v>6</v>
      </c>
      <c r="F105" s="139">
        <v>0</v>
      </c>
    </row>
    <row r="106" spans="1:6" x14ac:dyDescent="0.2">
      <c r="A106" s="137" t="s">
        <v>382</v>
      </c>
      <c r="B106" s="138" t="s">
        <v>286</v>
      </c>
      <c r="C106" s="139">
        <v>341</v>
      </c>
      <c r="D106" s="140">
        <v>22</v>
      </c>
      <c r="E106" s="140">
        <v>59</v>
      </c>
      <c r="F106" s="139">
        <v>1</v>
      </c>
    </row>
    <row r="107" spans="1:6" ht="25.5" x14ac:dyDescent="0.2">
      <c r="A107" s="137" t="s">
        <v>383</v>
      </c>
      <c r="B107" s="138" t="s">
        <v>284</v>
      </c>
      <c r="C107" s="139">
        <v>149</v>
      </c>
      <c r="D107" s="140">
        <v>16</v>
      </c>
      <c r="E107" s="140">
        <v>0</v>
      </c>
      <c r="F107" s="139">
        <v>9</v>
      </c>
    </row>
    <row r="108" spans="1:6" x14ac:dyDescent="0.2">
      <c r="A108" s="137" t="s">
        <v>384</v>
      </c>
      <c r="B108" s="138" t="s">
        <v>265</v>
      </c>
      <c r="C108" s="139">
        <v>29</v>
      </c>
      <c r="D108" s="140">
        <v>3</v>
      </c>
      <c r="E108" s="140">
        <v>4</v>
      </c>
      <c r="F108" s="139">
        <v>0</v>
      </c>
    </row>
    <row r="109" spans="1:6" x14ac:dyDescent="0.2">
      <c r="A109" s="137" t="s">
        <v>385</v>
      </c>
      <c r="B109" s="138" t="s">
        <v>279</v>
      </c>
      <c r="C109" s="139">
        <v>43</v>
      </c>
      <c r="D109" s="140">
        <v>0</v>
      </c>
      <c r="E109" s="140">
        <v>3</v>
      </c>
      <c r="F109" s="139">
        <v>0</v>
      </c>
    </row>
    <row r="110" spans="1:6" x14ac:dyDescent="0.2">
      <c r="A110" s="137" t="s">
        <v>386</v>
      </c>
      <c r="B110" s="138" t="s">
        <v>269</v>
      </c>
      <c r="C110" s="139">
        <v>70</v>
      </c>
      <c r="D110" s="140">
        <v>1</v>
      </c>
      <c r="E110" s="140">
        <v>16</v>
      </c>
      <c r="F110" s="139">
        <v>0</v>
      </c>
    </row>
    <row r="111" spans="1:6" x14ac:dyDescent="0.2">
      <c r="A111" s="142" t="s">
        <v>387</v>
      </c>
      <c r="B111" s="143" t="s">
        <v>279</v>
      </c>
      <c r="C111" s="144">
        <v>0</v>
      </c>
      <c r="D111" s="144">
        <v>0</v>
      </c>
      <c r="E111" s="144">
        <v>0</v>
      </c>
      <c r="F111" s="144">
        <v>0</v>
      </c>
    </row>
    <row r="112" spans="1:6" x14ac:dyDescent="0.2">
      <c r="A112" s="137" t="s">
        <v>388</v>
      </c>
      <c r="B112" s="138" t="s">
        <v>276</v>
      </c>
      <c r="C112" s="139">
        <v>514</v>
      </c>
      <c r="D112" s="140">
        <v>5</v>
      </c>
      <c r="E112" s="140">
        <v>66</v>
      </c>
      <c r="F112" s="139">
        <v>24</v>
      </c>
    </row>
    <row r="113" spans="1:6" x14ac:dyDescent="0.2">
      <c r="A113" s="137" t="s">
        <v>389</v>
      </c>
      <c r="B113" s="138" t="s">
        <v>265</v>
      </c>
      <c r="C113" s="139">
        <v>16</v>
      </c>
      <c r="D113" s="140">
        <v>1</v>
      </c>
      <c r="E113" s="140">
        <v>3</v>
      </c>
      <c r="F113" s="139">
        <v>0</v>
      </c>
    </row>
    <row r="114" spans="1:6" x14ac:dyDescent="0.2">
      <c r="A114" s="137" t="s">
        <v>390</v>
      </c>
      <c r="B114" s="138" t="s">
        <v>291</v>
      </c>
      <c r="C114" s="138">
        <v>153</v>
      </c>
      <c r="D114" s="138">
        <v>13</v>
      </c>
      <c r="E114" s="138">
        <v>1</v>
      </c>
      <c r="F114" s="138">
        <v>13</v>
      </c>
    </row>
    <row r="115" spans="1:6" x14ac:dyDescent="0.2">
      <c r="A115" s="137" t="s">
        <v>391</v>
      </c>
      <c r="B115" s="138" t="s">
        <v>276</v>
      </c>
      <c r="C115" s="139">
        <v>214</v>
      </c>
      <c r="D115" s="140">
        <v>4</v>
      </c>
      <c r="E115" s="140">
        <v>21</v>
      </c>
      <c r="F115" s="139">
        <v>12</v>
      </c>
    </row>
    <row r="116" spans="1:6" x14ac:dyDescent="0.2">
      <c r="A116" s="137" t="s">
        <v>392</v>
      </c>
      <c r="B116" s="138" t="s">
        <v>265</v>
      </c>
      <c r="C116" s="139">
        <v>29</v>
      </c>
      <c r="D116" s="140">
        <v>1</v>
      </c>
      <c r="E116" s="140">
        <v>6</v>
      </c>
      <c r="F116" s="139">
        <v>0</v>
      </c>
    </row>
    <row r="117" spans="1:6" x14ac:dyDescent="0.2">
      <c r="A117" s="137" t="s">
        <v>393</v>
      </c>
      <c r="B117" s="138" t="s">
        <v>284</v>
      </c>
      <c r="C117" s="139">
        <v>192</v>
      </c>
      <c r="D117" s="140">
        <v>15</v>
      </c>
      <c r="E117" s="140">
        <v>0</v>
      </c>
      <c r="F117" s="139">
        <v>14</v>
      </c>
    </row>
    <row r="118" spans="1:6" x14ac:dyDescent="0.2">
      <c r="A118" s="137" t="s">
        <v>394</v>
      </c>
      <c r="B118" s="138" t="s">
        <v>304</v>
      </c>
      <c r="C118" s="138">
        <v>430</v>
      </c>
      <c r="D118" s="138">
        <v>37</v>
      </c>
      <c r="E118" s="138">
        <v>2</v>
      </c>
      <c r="F118" s="138">
        <v>29</v>
      </c>
    </row>
    <row r="119" spans="1:6" x14ac:dyDescent="0.2">
      <c r="A119" s="137" t="s">
        <v>395</v>
      </c>
      <c r="B119" s="138" t="s">
        <v>284</v>
      </c>
      <c r="C119" s="139">
        <v>146</v>
      </c>
      <c r="D119" s="140">
        <v>22</v>
      </c>
      <c r="E119" s="140">
        <v>0</v>
      </c>
      <c r="F119" s="139">
        <v>6</v>
      </c>
    </row>
    <row r="120" spans="1:6" x14ac:dyDescent="0.2">
      <c r="A120" s="137" t="s">
        <v>396</v>
      </c>
      <c r="B120" s="138" t="s">
        <v>265</v>
      </c>
      <c r="C120" s="139">
        <v>70</v>
      </c>
      <c r="D120" s="140">
        <v>2</v>
      </c>
      <c r="E120" s="140">
        <v>15</v>
      </c>
      <c r="F120" s="139">
        <v>0</v>
      </c>
    </row>
    <row r="121" spans="1:6" x14ac:dyDescent="0.2">
      <c r="A121" s="137" t="s">
        <v>397</v>
      </c>
      <c r="B121" s="138" t="s">
        <v>269</v>
      </c>
      <c r="C121" s="139">
        <v>25</v>
      </c>
      <c r="D121" s="140">
        <v>1</v>
      </c>
      <c r="E121" s="140">
        <v>5</v>
      </c>
      <c r="F121" s="139">
        <v>0</v>
      </c>
    </row>
    <row r="122" spans="1:6" x14ac:dyDescent="0.2">
      <c r="A122" s="137" t="s">
        <v>398</v>
      </c>
      <c r="B122" s="138" t="s">
        <v>295</v>
      </c>
      <c r="C122" s="139">
        <v>50</v>
      </c>
      <c r="D122" s="140">
        <v>10</v>
      </c>
      <c r="E122" s="140">
        <v>0</v>
      </c>
      <c r="F122" s="139">
        <v>1</v>
      </c>
    </row>
    <row r="123" spans="1:6" x14ac:dyDescent="0.2">
      <c r="A123" s="137" t="s">
        <v>399</v>
      </c>
      <c r="B123" s="138" t="s">
        <v>265</v>
      </c>
      <c r="C123" s="139">
        <v>21</v>
      </c>
      <c r="D123" s="140">
        <v>1</v>
      </c>
      <c r="E123" s="140">
        <v>4</v>
      </c>
      <c r="F123" s="139">
        <v>0</v>
      </c>
    </row>
    <row r="124" spans="1:6" x14ac:dyDescent="0.2">
      <c r="A124" s="137" t="s">
        <v>400</v>
      </c>
      <c r="B124" s="138" t="s">
        <v>269</v>
      </c>
      <c r="C124" s="139">
        <v>41</v>
      </c>
      <c r="D124" s="140">
        <v>1</v>
      </c>
      <c r="E124" s="140">
        <v>9</v>
      </c>
      <c r="F124" s="139">
        <v>0</v>
      </c>
    </row>
    <row r="125" spans="1:6" x14ac:dyDescent="0.2">
      <c r="A125" s="137" t="s">
        <v>401</v>
      </c>
      <c r="B125" s="138" t="s">
        <v>276</v>
      </c>
      <c r="C125" s="139">
        <v>456</v>
      </c>
      <c r="D125" s="140">
        <v>5</v>
      </c>
      <c r="E125" s="140">
        <v>70</v>
      </c>
      <c r="F125" s="139">
        <v>16</v>
      </c>
    </row>
    <row r="126" spans="1:6" x14ac:dyDescent="0.2">
      <c r="A126" s="137" t="s">
        <v>402</v>
      </c>
      <c r="B126" s="138" t="s">
        <v>265</v>
      </c>
      <c r="C126" s="139">
        <v>25</v>
      </c>
      <c r="D126" s="140">
        <v>2</v>
      </c>
      <c r="E126" s="140">
        <v>4</v>
      </c>
      <c r="F126" s="139">
        <v>0</v>
      </c>
    </row>
    <row r="127" spans="1:6" x14ac:dyDescent="0.2">
      <c r="A127" s="137" t="s">
        <v>403</v>
      </c>
      <c r="B127" s="138" t="s">
        <v>284</v>
      </c>
      <c r="C127" s="139">
        <v>194</v>
      </c>
      <c r="D127" s="140">
        <v>20</v>
      </c>
      <c r="E127" s="140">
        <v>0</v>
      </c>
      <c r="F127" s="139">
        <v>12</v>
      </c>
    </row>
    <row r="128" spans="1:6" x14ac:dyDescent="0.2">
      <c r="A128" s="137" t="s">
        <v>404</v>
      </c>
      <c r="B128" s="138" t="s">
        <v>265</v>
      </c>
      <c r="C128" s="139">
        <v>12</v>
      </c>
      <c r="D128" s="140">
        <v>1</v>
      </c>
      <c r="E128" s="140">
        <v>2</v>
      </c>
      <c r="F128" s="139">
        <v>0</v>
      </c>
    </row>
    <row r="129" spans="1:6" x14ac:dyDescent="0.2">
      <c r="A129" s="137" t="s">
        <v>404</v>
      </c>
      <c r="B129" s="138" t="s">
        <v>265</v>
      </c>
      <c r="C129" s="139">
        <v>12</v>
      </c>
      <c r="D129" s="140">
        <v>1</v>
      </c>
      <c r="E129" s="140">
        <v>2</v>
      </c>
      <c r="F129" s="139">
        <v>0</v>
      </c>
    </row>
    <row r="130" spans="1:6" x14ac:dyDescent="0.2">
      <c r="A130" s="137" t="s">
        <v>405</v>
      </c>
      <c r="B130" s="138" t="s">
        <v>295</v>
      </c>
      <c r="C130" s="139">
        <v>146</v>
      </c>
      <c r="D130" s="140">
        <v>13</v>
      </c>
      <c r="E130" s="140">
        <v>0</v>
      </c>
      <c r="F130" s="139">
        <v>10</v>
      </c>
    </row>
    <row r="131" spans="1:6" x14ac:dyDescent="0.2">
      <c r="A131" s="137" t="s">
        <v>406</v>
      </c>
      <c r="B131" s="138" t="s">
        <v>269</v>
      </c>
      <c r="C131" s="139">
        <v>45</v>
      </c>
      <c r="D131" s="140">
        <v>1</v>
      </c>
      <c r="E131" s="140">
        <v>10</v>
      </c>
      <c r="F131" s="139">
        <v>0</v>
      </c>
    </row>
    <row r="132" spans="1:6" x14ac:dyDescent="0.2">
      <c r="A132" s="137" t="s">
        <v>407</v>
      </c>
      <c r="B132" s="138" t="s">
        <v>269</v>
      </c>
      <c r="C132" s="139">
        <v>37</v>
      </c>
      <c r="D132" s="140">
        <v>0</v>
      </c>
      <c r="E132" s="140">
        <v>9</v>
      </c>
      <c r="F132" s="139">
        <v>0</v>
      </c>
    </row>
    <row r="133" spans="1:6" x14ac:dyDescent="0.2">
      <c r="A133" s="137" t="s">
        <v>408</v>
      </c>
      <c r="B133" s="138" t="s">
        <v>271</v>
      </c>
      <c r="C133" s="139">
        <v>355</v>
      </c>
      <c r="D133" s="140">
        <v>7</v>
      </c>
      <c r="E133" s="140">
        <v>75</v>
      </c>
      <c r="F133" s="139">
        <v>2</v>
      </c>
    </row>
    <row r="134" spans="1:6" x14ac:dyDescent="0.2">
      <c r="A134" s="137" t="s">
        <v>409</v>
      </c>
      <c r="B134" s="138" t="s">
        <v>284</v>
      </c>
      <c r="C134" s="139">
        <v>507</v>
      </c>
      <c r="D134" s="140">
        <v>17</v>
      </c>
      <c r="E134" s="140">
        <v>0</v>
      </c>
      <c r="F134" s="139">
        <v>47</v>
      </c>
    </row>
    <row r="135" spans="1:6" x14ac:dyDescent="0.2">
      <c r="A135" s="137" t="s">
        <v>410</v>
      </c>
      <c r="B135" s="138" t="s">
        <v>295</v>
      </c>
      <c r="C135" s="139">
        <v>233</v>
      </c>
      <c r="D135" s="140">
        <v>24</v>
      </c>
      <c r="E135" s="140">
        <v>1</v>
      </c>
      <c r="F135" s="139">
        <v>14</v>
      </c>
    </row>
    <row r="136" spans="1:6" x14ac:dyDescent="0.2">
      <c r="A136" s="137" t="s">
        <v>411</v>
      </c>
      <c r="B136" s="138" t="s">
        <v>265</v>
      </c>
      <c r="C136" s="139">
        <v>8</v>
      </c>
      <c r="D136" s="140">
        <v>1</v>
      </c>
      <c r="E136" s="140">
        <v>1</v>
      </c>
      <c r="F136" s="139">
        <v>0</v>
      </c>
    </row>
    <row r="137" spans="1:6" x14ac:dyDescent="0.2">
      <c r="A137" s="137" t="s">
        <v>411</v>
      </c>
      <c r="B137" s="138" t="s">
        <v>265</v>
      </c>
      <c r="C137" s="139">
        <v>25</v>
      </c>
      <c r="D137" s="140">
        <v>1</v>
      </c>
      <c r="E137" s="140">
        <v>5</v>
      </c>
      <c r="F137" s="139">
        <v>0</v>
      </c>
    </row>
    <row r="138" spans="1:6" x14ac:dyDescent="0.2">
      <c r="A138" s="137" t="s">
        <v>412</v>
      </c>
      <c r="B138" s="138" t="s">
        <v>271</v>
      </c>
      <c r="C138" s="139">
        <v>277</v>
      </c>
      <c r="D138" s="140">
        <v>9</v>
      </c>
      <c r="E138" s="140">
        <v>54</v>
      </c>
      <c r="F138" s="139">
        <v>2</v>
      </c>
    </row>
    <row r="139" spans="1:6" x14ac:dyDescent="0.2">
      <c r="A139" s="137" t="s">
        <v>413</v>
      </c>
      <c r="B139" s="138" t="s">
        <v>274</v>
      </c>
      <c r="C139" s="139">
        <v>551</v>
      </c>
      <c r="D139" s="140">
        <v>21</v>
      </c>
      <c r="E139" s="140">
        <v>0</v>
      </c>
      <c r="F139" s="139">
        <v>50</v>
      </c>
    </row>
    <row r="140" spans="1:6" x14ac:dyDescent="0.2">
      <c r="A140" s="137" t="s">
        <v>414</v>
      </c>
      <c r="B140" s="138" t="s">
        <v>271</v>
      </c>
      <c r="C140" s="139">
        <v>331</v>
      </c>
      <c r="D140" s="140">
        <v>12</v>
      </c>
      <c r="E140" s="140">
        <v>62</v>
      </c>
      <c r="F140" s="139">
        <v>3</v>
      </c>
    </row>
    <row r="141" spans="1:6" x14ac:dyDescent="0.2">
      <c r="A141" s="137" t="s">
        <v>415</v>
      </c>
      <c r="B141" s="138" t="s">
        <v>265</v>
      </c>
      <c r="C141" s="139">
        <v>139</v>
      </c>
      <c r="D141" s="140">
        <v>6</v>
      </c>
      <c r="E141" s="140">
        <v>28</v>
      </c>
      <c r="F141" s="139">
        <v>0</v>
      </c>
    </row>
    <row r="142" spans="1:6" x14ac:dyDescent="0.2">
      <c r="A142" s="137" t="s">
        <v>416</v>
      </c>
      <c r="B142" s="138" t="s">
        <v>295</v>
      </c>
      <c r="C142" s="139">
        <v>124</v>
      </c>
      <c r="D142" s="140">
        <v>12</v>
      </c>
      <c r="E142" s="140">
        <v>0</v>
      </c>
      <c r="F142" s="139">
        <v>8</v>
      </c>
    </row>
    <row r="143" spans="1:6" x14ac:dyDescent="0.2">
      <c r="A143" s="137" t="s">
        <v>417</v>
      </c>
      <c r="B143" s="138" t="s">
        <v>321</v>
      </c>
      <c r="C143" s="139">
        <v>921</v>
      </c>
      <c r="D143" s="140">
        <v>0</v>
      </c>
      <c r="E143" s="140">
        <v>0</v>
      </c>
      <c r="F143" s="139">
        <v>99</v>
      </c>
    </row>
    <row r="144" spans="1:6" x14ac:dyDescent="0.2">
      <c r="A144" s="137" t="s">
        <v>418</v>
      </c>
      <c r="B144" s="138" t="s">
        <v>276</v>
      </c>
      <c r="C144" s="139">
        <v>569</v>
      </c>
      <c r="D144" s="140">
        <v>9</v>
      </c>
      <c r="E144" s="140">
        <v>55</v>
      </c>
      <c r="F144" s="139">
        <v>33</v>
      </c>
    </row>
    <row r="145" spans="1:6" x14ac:dyDescent="0.2">
      <c r="A145" s="137" t="s">
        <v>419</v>
      </c>
      <c r="B145" s="138" t="s">
        <v>295</v>
      </c>
      <c r="C145" s="139">
        <v>137</v>
      </c>
      <c r="D145" s="140">
        <v>13</v>
      </c>
      <c r="E145" s="140">
        <v>0</v>
      </c>
      <c r="F145" s="139">
        <v>9</v>
      </c>
    </row>
    <row r="146" spans="1:6" x14ac:dyDescent="0.2">
      <c r="A146" s="137" t="s">
        <v>420</v>
      </c>
      <c r="B146" s="138" t="s">
        <v>265</v>
      </c>
      <c r="C146" s="139">
        <v>12</v>
      </c>
      <c r="D146" s="140">
        <v>2</v>
      </c>
      <c r="E146" s="140">
        <v>1</v>
      </c>
      <c r="F146" s="139">
        <v>0</v>
      </c>
    </row>
    <row r="147" spans="1:6" x14ac:dyDescent="0.2">
      <c r="A147" s="137" t="s">
        <v>421</v>
      </c>
      <c r="B147" s="138" t="s">
        <v>265</v>
      </c>
      <c r="C147" s="139">
        <v>12</v>
      </c>
      <c r="D147" s="140">
        <v>1</v>
      </c>
      <c r="E147" s="140">
        <v>2</v>
      </c>
      <c r="F147" s="139">
        <v>0</v>
      </c>
    </row>
    <row r="148" spans="1:6" x14ac:dyDescent="0.2">
      <c r="A148" s="137" t="s">
        <v>422</v>
      </c>
      <c r="B148" s="138" t="s">
        <v>274</v>
      </c>
      <c r="C148" s="138">
        <v>599</v>
      </c>
      <c r="D148" s="138">
        <v>27</v>
      </c>
      <c r="E148" s="138">
        <v>8</v>
      </c>
      <c r="F148" s="138">
        <v>49</v>
      </c>
    </row>
    <row r="149" spans="1:6" x14ac:dyDescent="0.2">
      <c r="A149" s="137" t="s">
        <v>423</v>
      </c>
      <c r="B149" s="138" t="s">
        <v>269</v>
      </c>
      <c r="C149" s="139">
        <v>271</v>
      </c>
      <c r="D149" s="140">
        <v>2</v>
      </c>
      <c r="E149" s="140">
        <v>64</v>
      </c>
      <c r="F149" s="139">
        <v>0</v>
      </c>
    </row>
    <row r="150" spans="1:6" x14ac:dyDescent="0.2">
      <c r="A150" s="137" t="s">
        <v>424</v>
      </c>
      <c r="B150" s="138" t="s">
        <v>269</v>
      </c>
      <c r="C150" s="139">
        <v>70</v>
      </c>
      <c r="D150" s="140">
        <v>1</v>
      </c>
      <c r="E150" s="140">
        <v>16</v>
      </c>
      <c r="F150" s="139">
        <v>0</v>
      </c>
    </row>
    <row r="151" spans="1:6" x14ac:dyDescent="0.2">
      <c r="A151" s="137" t="s">
        <v>425</v>
      </c>
      <c r="B151" s="138" t="s">
        <v>284</v>
      </c>
      <c r="C151" s="139">
        <v>75</v>
      </c>
      <c r="D151" s="140">
        <v>16</v>
      </c>
      <c r="E151" s="140">
        <v>0</v>
      </c>
      <c r="F151" s="139">
        <v>1</v>
      </c>
    </row>
    <row r="152" spans="1:6" x14ac:dyDescent="0.2">
      <c r="A152" s="137" t="s">
        <v>426</v>
      </c>
      <c r="B152" s="138" t="s">
        <v>269</v>
      </c>
      <c r="C152" s="139">
        <v>267</v>
      </c>
      <c r="D152" s="140">
        <v>4</v>
      </c>
      <c r="E152" s="140">
        <v>61</v>
      </c>
      <c r="F152" s="139">
        <v>0</v>
      </c>
    </row>
    <row r="153" spans="1:6" x14ac:dyDescent="0.2">
      <c r="A153" s="137" t="s">
        <v>427</v>
      </c>
      <c r="B153" s="138" t="s">
        <v>265</v>
      </c>
      <c r="C153" s="139">
        <v>267</v>
      </c>
      <c r="D153" s="140">
        <v>4</v>
      </c>
      <c r="E153" s="140">
        <v>34</v>
      </c>
      <c r="F153" s="139">
        <v>12</v>
      </c>
    </row>
    <row r="154" spans="1:6" x14ac:dyDescent="0.2">
      <c r="A154" s="137" t="s">
        <v>428</v>
      </c>
      <c r="B154" s="138" t="s">
        <v>295</v>
      </c>
      <c r="C154" s="139">
        <v>239</v>
      </c>
      <c r="D154" s="140">
        <v>22</v>
      </c>
      <c r="E154" s="140">
        <v>0</v>
      </c>
      <c r="F154" s="139">
        <v>16</v>
      </c>
    </row>
    <row r="155" spans="1:6" ht="11.25" customHeight="1" x14ac:dyDescent="0.2">
      <c r="A155" s="137" t="s">
        <v>429</v>
      </c>
      <c r="B155" s="138" t="s">
        <v>295</v>
      </c>
      <c r="C155" s="138">
        <v>294</v>
      </c>
      <c r="D155" s="138">
        <v>24</v>
      </c>
      <c r="E155" s="138">
        <v>0</v>
      </c>
      <c r="F155" s="138">
        <v>21</v>
      </c>
    </row>
    <row r="156" spans="1:6" x14ac:dyDescent="0.2">
      <c r="A156" s="137" t="s">
        <v>430</v>
      </c>
      <c r="B156" s="138" t="s">
        <v>271</v>
      </c>
      <c r="C156" s="139">
        <v>358</v>
      </c>
      <c r="D156" s="140">
        <v>13</v>
      </c>
      <c r="E156" s="140">
        <v>72</v>
      </c>
      <c r="F156" s="139">
        <v>1</v>
      </c>
    </row>
    <row r="157" spans="1:6" x14ac:dyDescent="0.2">
      <c r="A157" s="137" t="s">
        <v>431</v>
      </c>
      <c r="B157" s="138" t="s">
        <v>304</v>
      </c>
      <c r="C157" s="138">
        <v>173</v>
      </c>
      <c r="D157" s="138">
        <v>24</v>
      </c>
      <c r="E157" s="138">
        <v>2</v>
      </c>
      <c r="F157" s="138">
        <v>7</v>
      </c>
    </row>
    <row r="158" spans="1:6" x14ac:dyDescent="0.2">
      <c r="A158" s="137" t="s">
        <v>432</v>
      </c>
      <c r="B158" s="138" t="s">
        <v>304</v>
      </c>
      <c r="C158" s="138">
        <v>353</v>
      </c>
      <c r="D158" s="138">
        <v>24</v>
      </c>
      <c r="E158" s="138">
        <v>3</v>
      </c>
      <c r="F158" s="138">
        <v>26</v>
      </c>
    </row>
    <row r="159" spans="1:6" x14ac:dyDescent="0.2">
      <c r="A159" s="137" t="s">
        <v>433</v>
      </c>
      <c r="B159" s="138" t="s">
        <v>304</v>
      </c>
      <c r="C159" s="139">
        <v>395</v>
      </c>
      <c r="D159" s="140">
        <v>15</v>
      </c>
      <c r="E159" s="140">
        <v>2</v>
      </c>
      <c r="F159" s="139">
        <v>35</v>
      </c>
    </row>
    <row r="160" spans="1:6" x14ac:dyDescent="0.2">
      <c r="A160" s="137" t="s">
        <v>434</v>
      </c>
      <c r="B160" s="138" t="s">
        <v>304</v>
      </c>
      <c r="C160" s="138">
        <v>403</v>
      </c>
      <c r="D160" s="138">
        <v>24</v>
      </c>
      <c r="E160" s="138">
        <v>2</v>
      </c>
      <c r="F160" s="138">
        <v>33</v>
      </c>
    </row>
    <row r="161" spans="1:6" x14ac:dyDescent="0.2">
      <c r="A161" s="137" t="s">
        <v>435</v>
      </c>
      <c r="B161" s="138" t="s">
        <v>286</v>
      </c>
      <c r="C161" s="138">
        <v>337</v>
      </c>
      <c r="D161" s="138">
        <v>24</v>
      </c>
      <c r="E161" s="138">
        <v>56</v>
      </c>
      <c r="F161" s="138">
        <v>1</v>
      </c>
    </row>
    <row r="162" spans="1:6" x14ac:dyDescent="0.2">
      <c r="A162" s="137" t="s">
        <v>436</v>
      </c>
      <c r="B162" s="138" t="s">
        <v>265</v>
      </c>
      <c r="C162" s="139">
        <v>29</v>
      </c>
      <c r="D162" s="140">
        <v>2</v>
      </c>
      <c r="E162" s="140">
        <v>5</v>
      </c>
      <c r="F162" s="139">
        <v>0</v>
      </c>
    </row>
    <row r="163" spans="1:6" x14ac:dyDescent="0.2">
      <c r="A163" s="137" t="s">
        <v>437</v>
      </c>
      <c r="B163" s="138" t="s">
        <v>304</v>
      </c>
      <c r="C163" s="138">
        <v>294</v>
      </c>
      <c r="D163" s="138">
        <v>14</v>
      </c>
      <c r="E163" s="138">
        <v>4</v>
      </c>
      <c r="F163" s="138">
        <v>21</v>
      </c>
    </row>
    <row r="164" spans="1:6" x14ac:dyDescent="0.2">
      <c r="A164" s="137" t="s">
        <v>438</v>
      </c>
      <c r="B164" s="138" t="s">
        <v>269</v>
      </c>
      <c r="C164" s="139">
        <v>33</v>
      </c>
      <c r="D164" s="140">
        <v>1</v>
      </c>
      <c r="E164" s="140">
        <v>7</v>
      </c>
      <c r="F164" s="139">
        <v>0</v>
      </c>
    </row>
    <row r="165" spans="1:6" x14ac:dyDescent="0.2">
      <c r="A165" s="137" t="s">
        <v>439</v>
      </c>
      <c r="B165" s="138" t="s">
        <v>304</v>
      </c>
      <c r="C165" s="139">
        <v>393</v>
      </c>
      <c r="D165" s="140">
        <v>2</v>
      </c>
      <c r="E165" s="140">
        <v>3</v>
      </c>
      <c r="F165" s="139">
        <v>40</v>
      </c>
    </row>
    <row r="166" spans="1:6" x14ac:dyDescent="0.2">
      <c r="A166" s="137" t="s">
        <v>440</v>
      </c>
      <c r="B166" s="138" t="s">
        <v>284</v>
      </c>
      <c r="C166" s="139">
        <v>80</v>
      </c>
      <c r="D166" s="140">
        <v>15</v>
      </c>
      <c r="E166" s="140">
        <v>0</v>
      </c>
      <c r="F166" s="139">
        <v>2</v>
      </c>
    </row>
    <row r="167" spans="1:6" x14ac:dyDescent="0.2">
      <c r="A167" s="137" t="s">
        <v>441</v>
      </c>
      <c r="B167" s="138" t="s">
        <v>274</v>
      </c>
      <c r="C167" s="138">
        <v>636</v>
      </c>
      <c r="D167" s="138">
        <v>26</v>
      </c>
      <c r="E167" s="138">
        <v>18</v>
      </c>
      <c r="F167" s="138">
        <v>49</v>
      </c>
    </row>
    <row r="168" spans="1:6" x14ac:dyDescent="0.2">
      <c r="A168" s="137" t="s">
        <v>442</v>
      </c>
      <c r="B168" s="138" t="s">
        <v>304</v>
      </c>
      <c r="C168" s="138">
        <v>322</v>
      </c>
      <c r="D168" s="138">
        <v>22</v>
      </c>
      <c r="E168" s="138">
        <v>2</v>
      </c>
      <c r="F168" s="138">
        <v>26</v>
      </c>
    </row>
    <row r="169" spans="1:6" x14ac:dyDescent="0.2">
      <c r="A169" s="137" t="s">
        <v>443</v>
      </c>
      <c r="B169" s="138" t="s">
        <v>304</v>
      </c>
      <c r="C169" s="138">
        <v>226</v>
      </c>
      <c r="D169" s="138">
        <v>27</v>
      </c>
      <c r="E169" s="138">
        <v>3</v>
      </c>
      <c r="F169" s="138">
        <v>15</v>
      </c>
    </row>
    <row r="170" spans="1:6" x14ac:dyDescent="0.2">
      <c r="A170" s="137" t="s">
        <v>444</v>
      </c>
      <c r="B170" s="138" t="s">
        <v>284</v>
      </c>
      <c r="C170" s="139">
        <v>227</v>
      </c>
      <c r="D170" s="140">
        <v>10</v>
      </c>
      <c r="E170" s="140">
        <v>0</v>
      </c>
      <c r="F170" s="139">
        <v>20</v>
      </c>
    </row>
    <row r="171" spans="1:6" x14ac:dyDescent="0.2">
      <c r="A171" s="137" t="s">
        <v>445</v>
      </c>
      <c r="B171" s="138" t="s">
        <v>284</v>
      </c>
      <c r="C171" s="139">
        <v>167</v>
      </c>
      <c r="D171" s="140">
        <v>18</v>
      </c>
      <c r="E171" s="140">
        <v>0</v>
      </c>
      <c r="F171" s="139">
        <v>10</v>
      </c>
    </row>
    <row r="172" spans="1:6" x14ac:dyDescent="0.2">
      <c r="A172" s="137" t="s">
        <v>446</v>
      </c>
      <c r="B172" s="138" t="s">
        <v>279</v>
      </c>
      <c r="C172" s="139">
        <v>49</v>
      </c>
      <c r="D172" s="140">
        <v>0</v>
      </c>
      <c r="E172" s="140">
        <v>12</v>
      </c>
      <c r="F172" s="139">
        <v>0</v>
      </c>
    </row>
    <row r="173" spans="1:6" x14ac:dyDescent="0.2">
      <c r="A173" s="137" t="s">
        <v>447</v>
      </c>
      <c r="B173" s="138" t="s">
        <v>279</v>
      </c>
      <c r="C173" s="139">
        <v>33</v>
      </c>
      <c r="D173" s="140">
        <v>1</v>
      </c>
      <c r="E173" s="140">
        <v>5</v>
      </c>
      <c r="F173" s="139">
        <v>0</v>
      </c>
    </row>
    <row r="174" spans="1:6" x14ac:dyDescent="0.2">
      <c r="A174" s="137" t="s">
        <v>448</v>
      </c>
      <c r="B174" s="138" t="s">
        <v>279</v>
      </c>
      <c r="C174" s="139">
        <v>45</v>
      </c>
      <c r="D174" s="140">
        <v>1</v>
      </c>
      <c r="E174" s="140">
        <v>10</v>
      </c>
      <c r="F174" s="139">
        <v>0</v>
      </c>
    </row>
    <row r="175" spans="1:6" x14ac:dyDescent="0.2">
      <c r="A175" s="137" t="s">
        <v>449</v>
      </c>
      <c r="B175" s="138" t="s">
        <v>279</v>
      </c>
      <c r="C175" s="139">
        <v>29</v>
      </c>
      <c r="D175" s="140">
        <v>1</v>
      </c>
      <c r="E175" s="140">
        <v>6</v>
      </c>
      <c r="F175" s="139">
        <v>0</v>
      </c>
    </row>
    <row r="176" spans="1:6" x14ac:dyDescent="0.2">
      <c r="A176" s="137" t="s">
        <v>450</v>
      </c>
      <c r="B176" s="138" t="s">
        <v>279</v>
      </c>
      <c r="C176" s="139">
        <v>33</v>
      </c>
      <c r="D176" s="140">
        <v>0</v>
      </c>
      <c r="E176" s="140">
        <v>8</v>
      </c>
      <c r="F176" s="139">
        <v>0</v>
      </c>
    </row>
    <row r="177" spans="1:6" x14ac:dyDescent="0.2">
      <c r="A177" s="137" t="s">
        <v>451</v>
      </c>
      <c r="B177" s="138" t="s">
        <v>279</v>
      </c>
      <c r="C177" s="139">
        <v>49</v>
      </c>
      <c r="D177" s="140">
        <v>0</v>
      </c>
      <c r="E177" s="140">
        <v>12</v>
      </c>
      <c r="F177" s="139">
        <v>0</v>
      </c>
    </row>
    <row r="178" spans="1:6" x14ac:dyDescent="0.2">
      <c r="A178" s="137" t="s">
        <v>452</v>
      </c>
      <c r="B178" s="138" t="s">
        <v>279</v>
      </c>
      <c r="C178" s="139">
        <v>21</v>
      </c>
      <c r="D178" s="140">
        <v>1</v>
      </c>
      <c r="E178" s="140">
        <v>4</v>
      </c>
      <c r="F178" s="139">
        <v>0</v>
      </c>
    </row>
    <row r="179" spans="1:6" x14ac:dyDescent="0.2">
      <c r="A179" s="137" t="s">
        <v>453</v>
      </c>
      <c r="B179" s="138" t="s">
        <v>279</v>
      </c>
      <c r="C179" s="139">
        <v>45</v>
      </c>
      <c r="D179" s="140">
        <v>1</v>
      </c>
      <c r="E179" s="140">
        <v>10</v>
      </c>
      <c r="F179" s="139">
        <v>0</v>
      </c>
    </row>
    <row r="180" spans="1:6" x14ac:dyDescent="0.2">
      <c r="A180" s="137" t="s">
        <v>454</v>
      </c>
      <c r="B180" s="138" t="s">
        <v>279</v>
      </c>
      <c r="C180" s="139">
        <v>74</v>
      </c>
      <c r="D180" s="140">
        <v>0</v>
      </c>
      <c r="E180" s="140">
        <v>18</v>
      </c>
      <c r="F180" s="139">
        <v>0</v>
      </c>
    </row>
    <row r="181" spans="1:6" ht="25.5" x14ac:dyDescent="0.2">
      <c r="A181" s="137" t="s">
        <v>455</v>
      </c>
      <c r="B181" s="138" t="s">
        <v>295</v>
      </c>
      <c r="C181" s="139">
        <v>213</v>
      </c>
      <c r="D181" s="140">
        <v>16</v>
      </c>
      <c r="E181" s="140">
        <v>20</v>
      </c>
      <c r="F181" s="139">
        <v>7</v>
      </c>
    </row>
    <row r="182" spans="1:6" x14ac:dyDescent="0.2">
      <c r="A182" s="137" t="s">
        <v>456</v>
      </c>
      <c r="B182" s="138" t="s">
        <v>265</v>
      </c>
      <c r="C182" s="139">
        <v>115</v>
      </c>
      <c r="D182" s="140">
        <v>2</v>
      </c>
      <c r="E182" s="140">
        <v>17</v>
      </c>
      <c r="F182" s="139">
        <v>4</v>
      </c>
    </row>
    <row r="183" spans="1:6" x14ac:dyDescent="0.2">
      <c r="A183" s="137" t="s">
        <v>457</v>
      </c>
      <c r="B183" s="138" t="s">
        <v>271</v>
      </c>
      <c r="C183" s="139">
        <v>317</v>
      </c>
      <c r="D183" s="140">
        <v>10</v>
      </c>
      <c r="E183" s="140">
        <v>65</v>
      </c>
      <c r="F183" s="139">
        <v>1</v>
      </c>
    </row>
    <row r="184" spans="1:6" x14ac:dyDescent="0.2">
      <c r="A184" s="137" t="s">
        <v>458</v>
      </c>
      <c r="B184" s="138" t="s">
        <v>271</v>
      </c>
      <c r="C184" s="139">
        <v>251</v>
      </c>
      <c r="D184" s="140">
        <v>7</v>
      </c>
      <c r="E184" s="140">
        <v>52</v>
      </c>
      <c r="F184" s="139">
        <v>1</v>
      </c>
    </row>
    <row r="185" spans="1:6" x14ac:dyDescent="0.2">
      <c r="A185" s="137" t="s">
        <v>459</v>
      </c>
      <c r="B185" s="138" t="s">
        <v>271</v>
      </c>
      <c r="C185" s="139">
        <v>243</v>
      </c>
      <c r="D185" s="140">
        <v>6</v>
      </c>
      <c r="E185" s="140">
        <v>51</v>
      </c>
      <c r="F185" s="139">
        <v>1</v>
      </c>
    </row>
    <row r="186" spans="1:6" x14ac:dyDescent="0.2">
      <c r="A186" s="137" t="s">
        <v>460</v>
      </c>
      <c r="B186" s="138" t="s">
        <v>271</v>
      </c>
      <c r="C186" s="139">
        <v>326</v>
      </c>
      <c r="D186" s="140">
        <v>10</v>
      </c>
      <c r="E186" s="140">
        <v>65</v>
      </c>
      <c r="F186" s="139">
        <v>2</v>
      </c>
    </row>
  </sheetData>
  <sheetProtection sort="0" autoFilter="0" pivotTables="0"/>
  <autoFilter ref="A2:F186" xr:uid="{77B75509-7005-45C1-94B4-41BB5B2AFFB0}"/>
  <mergeCells count="1">
    <mergeCell ref="A1:F1"/>
  </mergeCells>
  <hyperlinks>
    <hyperlink ref="G1" location="Εισαγωγή!A1" display="πίσω" xr:uid="{579481FC-BE5D-473C-A6A8-1C843F70934F}"/>
  </hyperlinks>
  <pageMargins left="0.75" right="0.75" top="1" bottom="1" header="0.5" footer="0.5"/>
  <pageSetup paperSize="9" scale="84" orientation="portrait" r:id="rId1"/>
  <headerFooter alignWithMargins="0">
    <oddHeader>&amp;LΛογιστικά φύλλα &amp;CΕπεξεργασία δεδομένων&amp;RΘερμιδομετρητής</oddHeader>
    <oddFooter xml:space="preserve">&amp;LΥπουργείο Παιδείας και Πολιτισμού&amp;RΠληροφορική Υποστήριξη για το Μάθημα της Επιστήμης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Μορφές</vt:lpstr>
      <vt:lpstr>Κοινές</vt:lpstr>
      <vt:lpstr>INT</vt:lpstr>
      <vt:lpstr>Κειμένου</vt:lpstr>
      <vt:lpstr>Ημερομηνίας-ώρας</vt:lpstr>
      <vt:lpstr>Διάφορες</vt:lpstr>
      <vt:lpstr>Άσκηση</vt:lpstr>
      <vt:lpstr>Λογική συνθήκη</vt:lpstr>
      <vt:lpstr>ΛΟΓΙΚΕΣ</vt:lpstr>
      <vt:lpstr>ΘΕΩΡΙΑ IF</vt:lpstr>
      <vt:lpstr>ΘΕΩΡΙΑ IF ΙΙ</vt:lpstr>
      <vt:lpstr>απλή IF</vt:lpstr>
      <vt:lpstr>ΤΜΗΜΑ</vt:lpstr>
      <vt:lpstr>ΚΑΡΤΕΛΑ</vt:lpstr>
      <vt:lpstr>Πάσχα</vt:lpstr>
      <vt:lpstr>IF μέσα σε IF</vt:lpstr>
      <vt:lpstr>SLEAGUE</vt:lpstr>
      <vt:lpstr>ΛΟΤΤΟ</vt:lpstr>
      <vt:lpstr>VLOOKUP</vt:lpstr>
      <vt:lpstr>VLOOKUP 1</vt:lpstr>
      <vt:lpstr>VLOOKUP 2</vt:lpstr>
      <vt:lpstr>Date&amp;Time</vt:lpstr>
      <vt:lpstr>ΑΣΤΕΡΙ</vt:lpstr>
      <vt:lpstr>Εισαγωγή</vt:lpstr>
      <vt:lpstr>θερμιδομετρητής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Αλέξης</dc:creator>
  <cp:lastModifiedBy>Niko spliiit</cp:lastModifiedBy>
  <dcterms:created xsi:type="dcterms:W3CDTF">2011-03-04T14:56:56Z</dcterms:created>
  <dcterms:modified xsi:type="dcterms:W3CDTF">2025-11-21T14:37:00Z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2025-11-14T15:38:50Z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425109b0-f6f6-4d7d-af5d-f5ec828619a5</vt:lpwstr>
  </property>
  <property fmtid="{D5CDD505-2E9C-101B-9397-08002B2CF9AE}" pid="7" name="MSIP_Label_defa4170-0d19-0005-0001-bc88714345d2_ActionId">
    <vt:lpwstr>89730b12-6f67-4aeb-87b9-27b58c1acaf6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