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Documents/Custom Office Templates/"/>
    </mc:Choice>
  </mc:AlternateContent>
  <xr:revisionPtr revIDLastSave="51" documentId="8_{7375DE48-7C21-4C6F-90D9-40AC3ADB6E39}" xr6:coauthVersionLast="47" xr6:coauthVersionMax="47" xr10:uidLastSave="{6B8F6FCD-4DE0-475E-9F57-4CBDBE691FC0}"/>
  <bookViews>
    <workbookView xWindow="-120" yWindow="-120" windowWidth="38640" windowHeight="21120" activeTab="1" xr2:uid="{00000000-000D-0000-FFFF-FFFF00000000}"/>
  </bookViews>
  <sheets>
    <sheet name="ΛΙΣΤΕΣ" sheetId="1" r:id="rId1"/>
    <sheet name="Sheet1" sheetId="3" r:id="rId2"/>
    <sheet name="ΔΕΔΟΜΕΝΑ" sheetId="2" r:id="rId3"/>
  </sheets>
  <definedNames>
    <definedName name="_xlcn.WorksheetConnection_ΔΕΔΟΜΕΝΑA1G771" hidden="1">ΔΕΔΟΜΕΝΑ!$A$1:$G$77</definedName>
  </definedNames>
  <calcPr calcId="191029"/>
  <pivotCaches>
    <pivotCache cacheId="81" r:id="rId4"/>
    <pivotCache cacheId="8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ΔΕΔΟΜΕΝΑ!$A$1:$G$7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2" i="2"/>
  <c r="D2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4C4D6-4520-4B3C-91ED-3B78FBB70E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E2E8FB-0573-476A-BB1E-2167A9E29B85}" name="WorksheetConnection_ΔΕΔΟΜΕΝΑ!$A$1:$G$7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ΔΕΔΟΜΕΝΑA1G771"/>
        </x15:connection>
      </ext>
    </extLst>
  </connection>
</connections>
</file>

<file path=xl/sharedStrings.xml><?xml version="1.0" encoding="utf-8"?>
<sst xmlns="http://schemas.openxmlformats.org/spreadsheetml/2006/main" count="54" uniqueCount="32">
  <si>
    <t>Παιχτης</t>
  </si>
  <si>
    <t>Γιάννης Αντετοκούνμπο</t>
  </si>
  <si>
    <t>Πολ Άριζιν</t>
  </si>
  <si>
    <t>Ρικ Μπάρι</t>
  </si>
  <si>
    <t>Λάρι Μπερντ</t>
  </si>
  <si>
    <t>Γουίλτ Τσάμπερλεϊν</t>
  </si>
  <si>
    <t>Κλάιντ Ντρέξλερ</t>
  </si>
  <si>
    <t>Τιμ Ντάνκαν</t>
  </si>
  <si>
    <t>Πάτρικ Γιούιν</t>
  </si>
  <si>
    <t>Ουόλτ Φρέιζερ</t>
  </si>
  <si>
    <t>Κέβιν Γκαρνέτ</t>
  </si>
  <si>
    <t>Α/Α</t>
  </si>
  <si>
    <t>Πόντοι</t>
  </si>
  <si>
    <t>Ασίστ</t>
  </si>
  <si>
    <t>Ριμπαουντ</t>
  </si>
  <si>
    <t>Κοψίματα</t>
  </si>
  <si>
    <t>Λάθη</t>
  </si>
  <si>
    <t>Παιχτες</t>
  </si>
  <si>
    <t>Count of Παιχτης</t>
  </si>
  <si>
    <t>Sum of Πόντοι</t>
  </si>
  <si>
    <t>Sum of Ασίστ</t>
  </si>
  <si>
    <t>Sum of Ριμπαουντ</t>
  </si>
  <si>
    <t>Row Labels</t>
  </si>
  <si>
    <t>Grand Total</t>
  </si>
  <si>
    <t>Average of Πόντοι2</t>
  </si>
  <si>
    <t>Average of Κοψίματα</t>
  </si>
  <si>
    <t xml:space="preserve"> </t>
  </si>
  <si>
    <t>Sum of 16</t>
  </si>
  <si>
    <t>Sum of 3</t>
  </si>
  <si>
    <t>Sum of 2</t>
  </si>
  <si>
    <t>Max of 6</t>
  </si>
  <si>
    <t>Average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</si>
</sst>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right" indent="1"/>
    </xf>
    <xf numFmtId="1" fontId="0" fillId="0" borderId="0" xfId="0" applyNumberFormat="1"/>
  </cellXfs>
  <cellStyles count="1">
    <cellStyle name="Normal" xfId="0" builtinId="0"/>
  </cellStyles>
  <dxfs count="35">
    <dxf>
      <numFmt numFmtId="167" formatCode="0.0"/>
    </dxf>
    <dxf>
      <numFmt numFmtId="1" formatCode="0"/>
    </dxf>
    <dxf>
      <numFmt numFmtId="2" formatCode="0.00"/>
    </dxf>
    <dxf>
      <numFmt numFmtId="166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 relativeIndent="1"/>
    </dxf>
    <dxf>
      <alignment horizontal="right" indent="1"/>
    </dxf>
    <dxf>
      <alignment horizontal="right" indent="1"/>
    </dxf>
    <dxf>
      <alignment horizontal="left" relativeInden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2.725012268522" createdVersion="8" refreshedVersion="8" minRefreshableVersion="3" recordCount="75" xr:uid="{E740AD88-0CE0-4D01-8277-BEC3152D0F4A}">
  <cacheSource type="worksheet">
    <worksheetSource ref="B2:G77" sheet="ΔΕΔΟΜΕΝΑ"/>
  </cacheSource>
  <cacheFields count="6">
    <cacheField name="Γιάννης Αντετοκούνμπο" numFmtId="0">
      <sharedItems count="10">
        <s v="Κλάιντ Ντρέξλερ"/>
        <s v="Ουόλτ Φρέιζερ"/>
        <s v="Πολ Άριζιν"/>
        <s v="Γουίλτ Τσάμπερλεϊν"/>
        <s v="Τιμ Ντάνκαν"/>
        <s v="Κέβιν Γκαρνέτ"/>
        <s v="Λάρι Μπερντ"/>
        <s v="Γιάννης Αντετοκούνμπο"/>
        <s v="Πάτρικ Γιούιν"/>
        <s v="Ρικ Μπάρι"/>
      </sharedItems>
    </cacheField>
    <cacheField name="16" numFmtId="0">
      <sharedItems containsSemiMixedTypes="0" containsString="0" containsNumber="1" containsInteger="1" minValue="10" maxValue="50" count="37">
        <n v="25"/>
        <n v="43"/>
        <n v="39"/>
        <n v="23"/>
        <n v="35"/>
        <n v="22"/>
        <n v="46"/>
        <n v="15"/>
        <n v="18"/>
        <n v="14"/>
        <n v="34"/>
        <n v="48"/>
        <n v="16"/>
        <n v="32"/>
        <n v="47"/>
        <n v="42"/>
        <n v="13"/>
        <n v="12"/>
        <n v="29"/>
        <n v="30"/>
        <n v="10"/>
        <n v="26"/>
        <n v="38"/>
        <n v="31"/>
        <n v="11"/>
        <n v="28"/>
        <n v="24"/>
        <n v="49"/>
        <n v="27"/>
        <n v="40"/>
        <n v="37"/>
        <n v="50"/>
        <n v="21"/>
        <n v="45"/>
        <n v="33"/>
        <n v="19"/>
        <n v="44"/>
      </sharedItems>
    </cacheField>
    <cacheField name="6" numFmtId="0">
      <sharedItems containsSemiMixedTypes="0" containsString="0" containsNumber="1" containsInteger="1" minValue="5" maxValue="20"/>
    </cacheField>
    <cacheField name="10" numFmtId="0">
      <sharedItems containsSemiMixedTypes="0" containsString="0" containsNumber="1" containsInteger="1" minValue="5" maxValue="20"/>
    </cacheField>
    <cacheField name="3" numFmtId="0">
      <sharedItems containsSemiMixedTypes="0" containsString="0" containsNumber="1" containsInteger="1" minValue="3" maxValue="8"/>
    </cacheField>
    <cacheField name="2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ektm1-03" refreshedDate="45982.72642175926" backgroundQuery="1" createdVersion="8" refreshedVersion="8" minRefreshableVersion="3" recordCount="0" supportSubquery="1" supportAdvancedDrill="1" xr:uid="{C01811BC-CF0F-4579-AA54-1088AC62B742}">
  <cacheSource type="external" connectionId="1"/>
  <cacheFields count="7">
    <cacheField name="[Measures].[Count of Παιχτης]" caption="Count of Παιχτης" numFmtId="0" hierarchy="9" level="32767"/>
    <cacheField name="[Measures].[Sum of Πόντοι]" caption="Sum of Πόντοι" numFmtId="0" hierarchy="10" level="32767"/>
    <cacheField name="[Measures].[Sum of Ασίστ]" caption="Sum of Ασίστ" numFmtId="0" hierarchy="11" level="32767"/>
    <cacheField name="[Measures].[Sum of Ριμπαουντ]" caption="Sum of Ριμπαουντ" numFmtId="0" hierarchy="12" level="32767"/>
    <cacheField name="[Range].[Παιχτης].[Παιχτης]" caption="Παιχτης" numFmtId="0" hierarchy="1" level="1">
      <sharedItems count="10">
        <s v="Γιάννης Αντετοκούνμπο"/>
        <s v="Γουίλτ Τσάμπερλεϊν"/>
        <s v="Κέβιν Γκαρνέτ"/>
        <s v="Κλάιντ Ντρέξλερ"/>
        <s v="Λάρι Μπερντ"/>
        <s v="Ουόλτ Φρέιζερ"/>
        <s v="Πάτρικ Γιούιν"/>
        <s v="Πολ Άριζιν"/>
        <s v="Ρικ Μπάρι"/>
        <s v="Τιμ Ντάνκαν"/>
      </sharedItems>
    </cacheField>
    <cacheField name="[Measures].[Average of Πόντοι]" caption="Average of Πόντοι" numFmtId="0" hierarchy="15" level="32767"/>
    <cacheField name="[Measures].[Average of Κοψίματα]" caption="Average of Κοψίματα" numFmtId="0" hierarchy="16" level="32767"/>
  </cacheFields>
  <cacheHierarchies count="18">
    <cacheHierarchy uniqueName="[Range].[Α/Α]" caption="Α/Α" attribute="1" defaultMemberUniqueName="[Range].[Α/Α].[All]" allUniqueName="[Range].[Α/Α].[All]" dimensionUniqueName="[Range]" displayFolder="" count="0" memberValueDatatype="20" unbalanced="0"/>
    <cacheHierarchy uniqueName="[Range].[Παιχτης]" caption="Παιχτης" attribute="1" defaultMemberUniqueName="[Range].[Παιχτης].[All]" allUniqueName="[Range].[Παιχτης].[All]" dimensionUniqueName="[Range]" displayFolder="" count="2" memberValueDatatype="130" unbalanced="0">
      <fieldsUsage count="2">
        <fieldUsage x="-1"/>
        <fieldUsage x="4"/>
      </fieldsUsage>
    </cacheHierarchy>
    <cacheHierarchy uniqueName="[Range].[Πόντοι]" caption="Πόντοι" attribute="1" defaultMemberUniqueName="[Range].[Πόντοι].[All]" allUniqueName="[Range].[Πόντοι].[All]" dimensionUniqueName="[Range]" displayFolder="" count="0" memberValueDatatype="20" unbalanced="0"/>
    <cacheHierarchy uniqueName="[Range].[Ασίστ]" caption="Ασίστ" attribute="1" defaultMemberUniqueName="[Range].[Ασίστ].[All]" allUniqueName="[Range].[Ασίστ].[All]" dimensionUniqueName="[Range]" displayFolder="" count="0" memberValueDatatype="20" unbalanced="0"/>
    <cacheHierarchy uniqueName="[Range].[Ριμπαουντ]" caption="Ριμπαουντ" attribute="1" defaultMemberUniqueName="[Range].[Ριμπαουντ].[All]" allUniqueName="[Range].[Ριμπαουντ].[All]" dimensionUniqueName="[Range]" displayFolder="" count="0" memberValueDatatype="20" unbalanced="0"/>
    <cacheHierarchy uniqueName="[Range].[Κοψίματα]" caption="Κοψίματα" attribute="1" defaultMemberUniqueName="[Range].[Κοψίματα].[All]" allUniqueName="[Range].[Κοψίματα].[All]" dimensionUniqueName="[Range]" displayFolder="" count="0" memberValueDatatype="20" unbalanced="0"/>
    <cacheHierarchy uniqueName="[Range].[Λάθη]" caption="Λάθη" attribute="1" defaultMemberUniqueName="[Range].[Λάθη].[All]" allUniqueName="[Range].[Λάθη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Παιχτης]" caption="Count of Παιχτης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Πόντοι]" caption="Sum of Πόντοι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Ασίστ]" caption="Sum of Ασίστ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Ριμπαουντ]" caption="Sum of Ριμπαουντ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Κοψίματα]" caption="Sum of Κοψίματα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Λάθη]" caption="Sum of Λάθη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Πόντοι]" caption="Average of Πόντοι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Κοψίματα]" caption="Average of Κοψίματα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Λάθη]" caption="Max of Λάθη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19"/>
    <n v="7"/>
    <n v="5"/>
    <n v="4"/>
  </r>
  <r>
    <x v="1"/>
    <x v="1"/>
    <n v="14"/>
    <n v="13"/>
    <n v="7"/>
    <n v="4"/>
  </r>
  <r>
    <x v="1"/>
    <x v="2"/>
    <n v="14"/>
    <n v="11"/>
    <n v="7"/>
    <n v="5"/>
  </r>
  <r>
    <x v="2"/>
    <x v="3"/>
    <n v="13"/>
    <n v="17"/>
    <n v="5"/>
    <n v="2"/>
  </r>
  <r>
    <x v="3"/>
    <x v="4"/>
    <n v="7"/>
    <n v="20"/>
    <n v="5"/>
    <n v="2"/>
  </r>
  <r>
    <x v="4"/>
    <x v="4"/>
    <n v="9"/>
    <n v="9"/>
    <n v="5"/>
    <n v="4"/>
  </r>
  <r>
    <x v="5"/>
    <x v="5"/>
    <n v="7"/>
    <n v="12"/>
    <n v="8"/>
    <n v="4"/>
  </r>
  <r>
    <x v="2"/>
    <x v="4"/>
    <n v="14"/>
    <n v="6"/>
    <n v="6"/>
    <n v="1"/>
  </r>
  <r>
    <x v="3"/>
    <x v="6"/>
    <n v="18"/>
    <n v="18"/>
    <n v="7"/>
    <n v="3"/>
  </r>
  <r>
    <x v="6"/>
    <x v="7"/>
    <n v="13"/>
    <n v="9"/>
    <n v="5"/>
    <n v="3"/>
  </r>
  <r>
    <x v="0"/>
    <x v="6"/>
    <n v="11"/>
    <n v="9"/>
    <n v="4"/>
    <n v="5"/>
  </r>
  <r>
    <x v="7"/>
    <x v="8"/>
    <n v="7"/>
    <n v="7"/>
    <n v="3"/>
    <n v="3"/>
  </r>
  <r>
    <x v="1"/>
    <x v="8"/>
    <n v="16"/>
    <n v="14"/>
    <n v="5"/>
    <n v="3"/>
  </r>
  <r>
    <x v="7"/>
    <x v="9"/>
    <n v="15"/>
    <n v="15"/>
    <n v="3"/>
    <n v="2"/>
  </r>
  <r>
    <x v="2"/>
    <x v="10"/>
    <n v="9"/>
    <n v="7"/>
    <n v="5"/>
    <n v="1"/>
  </r>
  <r>
    <x v="8"/>
    <x v="1"/>
    <n v="14"/>
    <n v="8"/>
    <n v="3"/>
    <n v="1"/>
  </r>
  <r>
    <x v="4"/>
    <x v="11"/>
    <n v="15"/>
    <n v="19"/>
    <n v="4"/>
    <n v="1"/>
  </r>
  <r>
    <x v="2"/>
    <x v="11"/>
    <n v="12"/>
    <n v="14"/>
    <n v="7"/>
    <n v="1"/>
  </r>
  <r>
    <x v="0"/>
    <x v="10"/>
    <n v="11"/>
    <n v="10"/>
    <n v="6"/>
    <n v="3"/>
  </r>
  <r>
    <x v="3"/>
    <x v="12"/>
    <n v="15"/>
    <n v="15"/>
    <n v="3"/>
    <n v="3"/>
  </r>
  <r>
    <x v="1"/>
    <x v="4"/>
    <n v="7"/>
    <n v="20"/>
    <n v="4"/>
    <n v="5"/>
  </r>
  <r>
    <x v="5"/>
    <x v="13"/>
    <n v="7"/>
    <n v="16"/>
    <n v="4"/>
    <n v="4"/>
  </r>
  <r>
    <x v="0"/>
    <x v="9"/>
    <n v="20"/>
    <n v="14"/>
    <n v="8"/>
    <n v="3"/>
  </r>
  <r>
    <x v="2"/>
    <x v="14"/>
    <n v="7"/>
    <n v="10"/>
    <n v="7"/>
    <n v="4"/>
  </r>
  <r>
    <x v="0"/>
    <x v="11"/>
    <n v="11"/>
    <n v="17"/>
    <n v="4"/>
    <n v="3"/>
  </r>
  <r>
    <x v="5"/>
    <x v="7"/>
    <n v="14"/>
    <n v="20"/>
    <n v="7"/>
    <n v="5"/>
  </r>
  <r>
    <x v="3"/>
    <x v="15"/>
    <n v="17"/>
    <n v="20"/>
    <n v="7"/>
    <n v="4"/>
  </r>
  <r>
    <x v="2"/>
    <x v="16"/>
    <n v="13"/>
    <n v="6"/>
    <n v="4"/>
    <n v="1"/>
  </r>
  <r>
    <x v="3"/>
    <x v="11"/>
    <n v="14"/>
    <n v="15"/>
    <n v="3"/>
    <n v="5"/>
  </r>
  <r>
    <x v="2"/>
    <x v="9"/>
    <n v="10"/>
    <n v="9"/>
    <n v="3"/>
    <n v="2"/>
  </r>
  <r>
    <x v="3"/>
    <x v="17"/>
    <n v="6"/>
    <n v="16"/>
    <n v="4"/>
    <n v="5"/>
  </r>
  <r>
    <x v="1"/>
    <x v="18"/>
    <n v="16"/>
    <n v="11"/>
    <n v="8"/>
    <n v="5"/>
  </r>
  <r>
    <x v="9"/>
    <x v="0"/>
    <n v="8"/>
    <n v="10"/>
    <n v="6"/>
    <n v="1"/>
  </r>
  <r>
    <x v="8"/>
    <x v="0"/>
    <n v="19"/>
    <n v="20"/>
    <n v="3"/>
    <n v="4"/>
  </r>
  <r>
    <x v="8"/>
    <x v="19"/>
    <n v="15"/>
    <n v="7"/>
    <n v="3"/>
    <n v="2"/>
  </r>
  <r>
    <x v="6"/>
    <x v="20"/>
    <n v="11"/>
    <n v="20"/>
    <n v="4"/>
    <n v="4"/>
  </r>
  <r>
    <x v="7"/>
    <x v="21"/>
    <n v="5"/>
    <n v="15"/>
    <n v="5"/>
    <n v="4"/>
  </r>
  <r>
    <x v="0"/>
    <x v="22"/>
    <n v="5"/>
    <n v="12"/>
    <n v="4"/>
    <n v="4"/>
  </r>
  <r>
    <x v="4"/>
    <x v="23"/>
    <n v="16"/>
    <n v="11"/>
    <n v="7"/>
    <n v="2"/>
  </r>
  <r>
    <x v="1"/>
    <x v="11"/>
    <n v="9"/>
    <n v="15"/>
    <n v="4"/>
    <n v="3"/>
  </r>
  <r>
    <x v="7"/>
    <x v="12"/>
    <n v="12"/>
    <n v="12"/>
    <n v="6"/>
    <n v="4"/>
  </r>
  <r>
    <x v="8"/>
    <x v="24"/>
    <n v="20"/>
    <n v="20"/>
    <n v="4"/>
    <n v="5"/>
  </r>
  <r>
    <x v="2"/>
    <x v="25"/>
    <n v="12"/>
    <n v="9"/>
    <n v="3"/>
    <n v="2"/>
  </r>
  <r>
    <x v="4"/>
    <x v="26"/>
    <n v="15"/>
    <n v="20"/>
    <n v="6"/>
    <n v="1"/>
  </r>
  <r>
    <x v="9"/>
    <x v="27"/>
    <n v="7"/>
    <n v="15"/>
    <n v="5"/>
    <n v="2"/>
  </r>
  <r>
    <x v="6"/>
    <x v="19"/>
    <n v="5"/>
    <n v="20"/>
    <n v="3"/>
    <n v="3"/>
  </r>
  <r>
    <x v="6"/>
    <x v="13"/>
    <n v="10"/>
    <n v="20"/>
    <n v="4"/>
    <n v="1"/>
  </r>
  <r>
    <x v="9"/>
    <x v="0"/>
    <n v="14"/>
    <n v="17"/>
    <n v="7"/>
    <n v="4"/>
  </r>
  <r>
    <x v="1"/>
    <x v="12"/>
    <n v="17"/>
    <n v="9"/>
    <n v="3"/>
    <n v="5"/>
  </r>
  <r>
    <x v="6"/>
    <x v="23"/>
    <n v="20"/>
    <n v="10"/>
    <n v="5"/>
    <n v="2"/>
  </r>
  <r>
    <x v="9"/>
    <x v="28"/>
    <n v="7"/>
    <n v="5"/>
    <n v="4"/>
    <n v="2"/>
  </r>
  <r>
    <x v="5"/>
    <x v="8"/>
    <n v="14"/>
    <n v="13"/>
    <n v="4"/>
    <n v="4"/>
  </r>
  <r>
    <x v="8"/>
    <x v="19"/>
    <n v="10"/>
    <n v="6"/>
    <n v="5"/>
    <n v="4"/>
  </r>
  <r>
    <x v="4"/>
    <x v="4"/>
    <n v="12"/>
    <n v="10"/>
    <n v="6"/>
    <n v="4"/>
  </r>
  <r>
    <x v="0"/>
    <x v="29"/>
    <n v="14"/>
    <n v="14"/>
    <n v="8"/>
    <n v="5"/>
  </r>
  <r>
    <x v="8"/>
    <x v="10"/>
    <n v="19"/>
    <n v="7"/>
    <n v="8"/>
    <n v="1"/>
  </r>
  <r>
    <x v="3"/>
    <x v="21"/>
    <n v="5"/>
    <n v="10"/>
    <n v="5"/>
    <n v="2"/>
  </r>
  <r>
    <x v="4"/>
    <x v="2"/>
    <n v="14"/>
    <n v="13"/>
    <n v="5"/>
    <n v="3"/>
  </r>
  <r>
    <x v="4"/>
    <x v="19"/>
    <n v="13"/>
    <n v="15"/>
    <n v="8"/>
    <n v="4"/>
  </r>
  <r>
    <x v="3"/>
    <x v="8"/>
    <n v="19"/>
    <n v="16"/>
    <n v="3"/>
    <n v="5"/>
  </r>
  <r>
    <x v="8"/>
    <x v="12"/>
    <n v="18"/>
    <n v="14"/>
    <n v="7"/>
    <n v="5"/>
  </r>
  <r>
    <x v="3"/>
    <x v="30"/>
    <n v="6"/>
    <n v="20"/>
    <n v="4"/>
    <n v="1"/>
  </r>
  <r>
    <x v="0"/>
    <x v="31"/>
    <n v="13"/>
    <n v="20"/>
    <n v="6"/>
    <n v="4"/>
  </r>
  <r>
    <x v="9"/>
    <x v="32"/>
    <n v="5"/>
    <n v="19"/>
    <n v="7"/>
    <n v="2"/>
  </r>
  <r>
    <x v="9"/>
    <x v="23"/>
    <n v="15"/>
    <n v="7"/>
    <n v="5"/>
    <n v="2"/>
  </r>
  <r>
    <x v="8"/>
    <x v="14"/>
    <n v="14"/>
    <n v="14"/>
    <n v="7"/>
    <n v="4"/>
  </r>
  <r>
    <x v="7"/>
    <x v="33"/>
    <n v="5"/>
    <n v="17"/>
    <n v="6"/>
    <n v="4"/>
  </r>
  <r>
    <x v="5"/>
    <x v="26"/>
    <n v="9"/>
    <n v="6"/>
    <n v="7"/>
    <n v="3"/>
  </r>
  <r>
    <x v="3"/>
    <x v="34"/>
    <n v="10"/>
    <n v="13"/>
    <n v="7"/>
    <n v="4"/>
  </r>
  <r>
    <x v="6"/>
    <x v="35"/>
    <n v="13"/>
    <n v="6"/>
    <n v="5"/>
    <n v="4"/>
  </r>
  <r>
    <x v="4"/>
    <x v="7"/>
    <n v="7"/>
    <n v="7"/>
    <n v="6"/>
    <n v="2"/>
  </r>
  <r>
    <x v="8"/>
    <x v="10"/>
    <n v="14"/>
    <n v="12"/>
    <n v="6"/>
    <n v="5"/>
  </r>
  <r>
    <x v="8"/>
    <x v="36"/>
    <n v="5"/>
    <n v="14"/>
    <n v="4"/>
    <n v="5"/>
  </r>
  <r>
    <x v="8"/>
    <x v="8"/>
    <n v="18"/>
    <n v="15"/>
    <n v="8"/>
    <n v="1"/>
  </r>
  <r>
    <x v="0"/>
    <x v="27"/>
    <n v="9"/>
    <n v="5"/>
    <n v="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E22EF-6FEE-48A9-BED9-2FB98AA8CFCB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J32" firstHeaderRow="0" firstDataRow="1" firstDataCol="1"/>
  <pivotFields count="6">
    <pivotField axis="axisRow" showAll="0">
      <items count="11">
        <item x="7"/>
        <item x="3"/>
        <item x="5"/>
        <item x="0"/>
        <item x="6"/>
        <item x="1"/>
        <item x="8"/>
        <item x="2"/>
        <item x="9"/>
        <item x="4"/>
        <item t="default"/>
      </items>
    </pivotField>
    <pivotField dataField="1" showAll="0">
      <items count="38">
        <item x="20"/>
        <item x="24"/>
        <item x="17"/>
        <item x="16"/>
        <item x="9"/>
        <item x="7"/>
        <item x="12"/>
        <item x="8"/>
        <item x="35"/>
        <item x="32"/>
        <item x="5"/>
        <item x="3"/>
        <item x="26"/>
        <item x="0"/>
        <item x="21"/>
        <item x="28"/>
        <item x="25"/>
        <item x="18"/>
        <item x="19"/>
        <item x="23"/>
        <item x="13"/>
        <item x="34"/>
        <item x="10"/>
        <item x="4"/>
        <item x="30"/>
        <item x="22"/>
        <item x="2"/>
        <item x="29"/>
        <item x="15"/>
        <item x="1"/>
        <item x="36"/>
        <item x="33"/>
        <item x="6"/>
        <item x="14"/>
        <item x="11"/>
        <item x="27"/>
        <item x="31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16" fld="1" baseField="0" baseItem="0"/>
    <dataField name="Max of 6" fld="2" subtotal="max" baseField="0" baseItem="0"/>
    <dataField name="Average of 10" fld="3" subtotal="average" baseField="0" baseItem="0" numFmtId="2"/>
    <dataField name="Sum of 3" fld="4" baseField="0" baseItem="0"/>
    <dataField name="Sum of 2" fld="5" baseField="0" baseItem="0"/>
  </dataFields>
  <formats count="2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FA46C-2BC8-46FB-8093-B29F915F840E}" name="PivotTable1" cacheId="8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G14" firstHeaderRow="0" firstDataRow="1" firstDataCol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Παιχτης" fld="0" subtotal="count" baseField="0" baseItem="0"/>
    <dataField name="Average of Πόντοι2" fld="5" subtotal="average" baseField="4" baseItem="0"/>
    <dataField name="Sum of Ασίστ" fld="2" baseField="0" baseItem="0"/>
    <dataField name="Sum of Πόντοι" fld="1" baseField="0" baseItem="0"/>
    <dataField name="Sum of Ριμπαουντ" fld="3" baseField="0" baseItem="0"/>
    <dataField name="Average of Κοψίματα" fld="6" subtotal="average" baseField="4" baseItem="9" numFmtId="2"/>
  </dataFields>
  <formats count="5">
    <format dxfId="33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8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Πόντοι2"/>
    <pivotHierarchy dragToData="1" caption="Average of Κοψίματα"/>
    <pivotHierarchy dragToData="1" caption="Max of Λάθη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ΔΕΔΟΜΕΝΑ!$A$1:$G$7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A11" sqref="A11"/>
    </sheetView>
  </sheetViews>
  <sheetFormatPr defaultRowHeight="15" x14ac:dyDescent="0.25"/>
  <cols>
    <col min="1" max="1" width="28" bestFit="1" customWidth="1"/>
    <col min="2" max="2" width="27.28515625" bestFit="1" customWidth="1"/>
    <col min="3" max="3" width="11.5703125" bestFit="1" customWidth="1"/>
    <col min="7" max="7" width="28.5703125" bestFit="1" customWidth="1"/>
  </cols>
  <sheetData>
    <row r="1" spans="1:7" x14ac:dyDescent="0.25">
      <c r="A1" s="5" t="s">
        <v>17</v>
      </c>
      <c r="B1" s="6"/>
      <c r="C1" s="6"/>
    </row>
    <row r="2" spans="1:7" x14ac:dyDescent="0.25">
      <c r="A2" t="s">
        <v>1</v>
      </c>
      <c r="B2" s="2"/>
      <c r="C2" s="2"/>
    </row>
    <row r="3" spans="1:7" x14ac:dyDescent="0.25">
      <c r="A3" t="s">
        <v>2</v>
      </c>
      <c r="B3" s="2"/>
      <c r="C3" s="2"/>
    </row>
    <row r="4" spans="1:7" x14ac:dyDescent="0.25">
      <c r="A4" s="3" t="s">
        <v>3</v>
      </c>
      <c r="B4" s="2"/>
      <c r="C4" s="2"/>
    </row>
    <row r="5" spans="1:7" x14ac:dyDescent="0.25">
      <c r="A5" s="3" t="s">
        <v>4</v>
      </c>
      <c r="B5" s="2"/>
      <c r="C5" s="2"/>
    </row>
    <row r="6" spans="1:7" x14ac:dyDescent="0.25">
      <c r="A6" s="3" t="s">
        <v>5</v>
      </c>
      <c r="B6" s="2"/>
      <c r="C6" s="2"/>
      <c r="G6" s="1"/>
    </row>
    <row r="7" spans="1:7" x14ac:dyDescent="0.25">
      <c r="A7" s="3" t="s">
        <v>6</v>
      </c>
      <c r="B7" s="2"/>
      <c r="C7" s="2"/>
      <c r="G7" s="1"/>
    </row>
    <row r="8" spans="1:7" x14ac:dyDescent="0.25">
      <c r="A8" s="3" t="s">
        <v>7</v>
      </c>
      <c r="B8" s="2"/>
      <c r="C8" s="2"/>
      <c r="G8" s="1"/>
    </row>
    <row r="9" spans="1:7" x14ac:dyDescent="0.25">
      <c r="A9" s="3" t="s">
        <v>8</v>
      </c>
      <c r="B9" s="2"/>
      <c r="C9" s="2"/>
      <c r="G9" s="1"/>
    </row>
    <row r="10" spans="1:7" x14ac:dyDescent="0.25">
      <c r="A10" s="3" t="s">
        <v>9</v>
      </c>
      <c r="B10" s="2"/>
      <c r="C10" s="2"/>
      <c r="G10" s="1"/>
    </row>
    <row r="11" spans="1:7" x14ac:dyDescent="0.25">
      <c r="A11" s="3" t="s">
        <v>10</v>
      </c>
      <c r="B11" s="2"/>
      <c r="C11" s="2"/>
      <c r="G11" s="1"/>
    </row>
    <row r="12" spans="1:7" x14ac:dyDescent="0.25">
      <c r="B12" s="2"/>
      <c r="C12" s="2"/>
      <c r="G12" s="1"/>
    </row>
    <row r="13" spans="1:7" x14ac:dyDescent="0.25">
      <c r="B13" s="2"/>
      <c r="C13" s="2"/>
      <c r="G13" s="1"/>
    </row>
    <row r="14" spans="1:7" x14ac:dyDescent="0.25">
      <c r="B14" s="2"/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F367-4D14-4524-8030-E41DA4011197}">
  <dimension ref="A3:J32"/>
  <sheetViews>
    <sheetView tabSelected="1" workbookViewId="0">
      <selection activeCell="K12" sqref="K12"/>
    </sheetView>
  </sheetViews>
  <sheetFormatPr defaultRowHeight="15" x14ac:dyDescent="0.25"/>
  <cols>
    <col min="1" max="1" width="22.42578125" bestFit="1" customWidth="1"/>
    <col min="2" max="2" width="16.140625" bestFit="1" customWidth="1"/>
    <col min="3" max="3" width="18.28515625" bestFit="1" customWidth="1"/>
    <col min="4" max="4" width="12.5703125" bestFit="1" customWidth="1"/>
    <col min="5" max="5" width="22.42578125" bestFit="1" customWidth="1"/>
    <col min="6" max="6" width="9.5703125" bestFit="1" customWidth="1"/>
    <col min="7" max="7" width="8.5703125" bestFit="1" customWidth="1"/>
    <col min="8" max="8" width="13.140625" bestFit="1" customWidth="1"/>
    <col min="9" max="10" width="8.5703125" bestFit="1" customWidth="1"/>
  </cols>
  <sheetData>
    <row r="3" spans="1:9" x14ac:dyDescent="0.25">
      <c r="A3" s="8" t="s">
        <v>22</v>
      </c>
      <c r="B3" t="s">
        <v>18</v>
      </c>
      <c r="C3" t="s">
        <v>24</v>
      </c>
      <c r="D3" t="s">
        <v>20</v>
      </c>
      <c r="E3" s="11" t="s">
        <v>19</v>
      </c>
      <c r="F3" t="s">
        <v>21</v>
      </c>
      <c r="G3" t="s">
        <v>25</v>
      </c>
    </row>
    <row r="4" spans="1:9" x14ac:dyDescent="0.25">
      <c r="A4" s="9" t="s">
        <v>1</v>
      </c>
      <c r="B4" s="7">
        <v>7</v>
      </c>
      <c r="C4" s="10">
        <v>31</v>
      </c>
      <c r="D4" s="7">
        <v>88</v>
      </c>
      <c r="E4" s="7">
        <v>217</v>
      </c>
      <c r="F4" s="7">
        <v>85</v>
      </c>
      <c r="G4" s="10">
        <v>4.7142857142857144</v>
      </c>
    </row>
    <row r="5" spans="1:9" x14ac:dyDescent="0.25">
      <c r="A5" s="9" t="s">
        <v>5</v>
      </c>
      <c r="B5" s="7">
        <v>8</v>
      </c>
      <c r="C5" s="10">
        <v>34.625</v>
      </c>
      <c r="D5" s="7">
        <v>121</v>
      </c>
      <c r="E5" s="7">
        <v>277</v>
      </c>
      <c r="F5" s="7">
        <v>90</v>
      </c>
      <c r="G5" s="10">
        <v>6.125</v>
      </c>
    </row>
    <row r="6" spans="1:9" x14ac:dyDescent="0.25">
      <c r="A6" s="9" t="s">
        <v>10</v>
      </c>
      <c r="B6" s="7">
        <v>12</v>
      </c>
      <c r="C6" s="10">
        <v>30.25</v>
      </c>
      <c r="D6" s="7">
        <v>172</v>
      </c>
      <c r="E6" s="7">
        <v>363</v>
      </c>
      <c r="F6" s="7">
        <v>129</v>
      </c>
      <c r="G6" s="10">
        <v>5.583333333333333</v>
      </c>
    </row>
    <row r="7" spans="1:9" x14ac:dyDescent="0.25">
      <c r="A7" s="9" t="s">
        <v>6</v>
      </c>
      <c r="B7" s="7">
        <v>6</v>
      </c>
      <c r="C7" s="10">
        <v>25.333333333333332</v>
      </c>
      <c r="D7" s="7">
        <v>66</v>
      </c>
      <c r="E7" s="7">
        <v>152</v>
      </c>
      <c r="F7" s="7">
        <v>81</v>
      </c>
      <c r="G7" s="10">
        <v>4</v>
      </c>
    </row>
    <row r="8" spans="1:9" x14ac:dyDescent="0.25">
      <c r="A8" s="9" t="s">
        <v>4</v>
      </c>
      <c r="B8" s="7">
        <v>9</v>
      </c>
      <c r="C8" s="10">
        <v>29.555555555555557</v>
      </c>
      <c r="D8" s="7">
        <v>108</v>
      </c>
      <c r="E8" s="7">
        <v>266</v>
      </c>
      <c r="F8" s="7">
        <v>101</v>
      </c>
      <c r="G8" s="10">
        <v>5.8888888888888893</v>
      </c>
      <c r="I8" t="s">
        <v>26</v>
      </c>
    </row>
    <row r="9" spans="1:9" x14ac:dyDescent="0.25">
      <c r="A9" s="9" t="s">
        <v>9</v>
      </c>
      <c r="B9" s="7">
        <v>9</v>
      </c>
      <c r="C9" s="10">
        <v>27.555555555555557</v>
      </c>
      <c r="D9" s="7">
        <v>111</v>
      </c>
      <c r="E9" s="7">
        <v>248</v>
      </c>
      <c r="F9" s="7">
        <v>89</v>
      </c>
      <c r="G9" s="10">
        <v>5.1111111111111107</v>
      </c>
    </row>
    <row r="10" spans="1:9" x14ac:dyDescent="0.25">
      <c r="A10" s="9" t="s">
        <v>8</v>
      </c>
      <c r="B10" s="7">
        <v>4</v>
      </c>
      <c r="C10" s="10">
        <v>26.75</v>
      </c>
      <c r="D10" s="7">
        <v>46</v>
      </c>
      <c r="E10" s="7">
        <v>107</v>
      </c>
      <c r="F10" s="7">
        <v>40</v>
      </c>
      <c r="G10" s="10">
        <v>5.75</v>
      </c>
    </row>
    <row r="11" spans="1:9" x14ac:dyDescent="0.25">
      <c r="A11" s="9" t="s">
        <v>2</v>
      </c>
      <c r="B11" s="7">
        <v>3</v>
      </c>
      <c r="C11" s="10">
        <v>22</v>
      </c>
      <c r="D11" s="7">
        <v>26</v>
      </c>
      <c r="E11" s="7">
        <v>66</v>
      </c>
      <c r="F11" s="7">
        <v>43</v>
      </c>
      <c r="G11" s="10">
        <v>6</v>
      </c>
    </row>
    <row r="12" spans="1:9" x14ac:dyDescent="0.25">
      <c r="A12" s="9" t="s">
        <v>3</v>
      </c>
      <c r="B12" s="7">
        <v>5</v>
      </c>
      <c r="C12" s="10">
        <v>20.8</v>
      </c>
      <c r="D12" s="7">
        <v>61</v>
      </c>
      <c r="E12" s="7">
        <v>104</v>
      </c>
      <c r="F12" s="7">
        <v>58</v>
      </c>
      <c r="G12" s="10">
        <v>5.6</v>
      </c>
    </row>
    <row r="13" spans="1:9" x14ac:dyDescent="0.25">
      <c r="A13" s="9" t="s">
        <v>7</v>
      </c>
      <c r="B13" s="7">
        <v>13</v>
      </c>
      <c r="C13" s="10">
        <v>35</v>
      </c>
      <c r="D13" s="7">
        <v>196</v>
      </c>
      <c r="E13" s="7">
        <v>455</v>
      </c>
      <c r="F13" s="7">
        <v>177</v>
      </c>
      <c r="G13" s="10">
        <v>5.7692307692307692</v>
      </c>
    </row>
    <row r="14" spans="1:9" x14ac:dyDescent="0.25">
      <c r="A14" s="9" t="s">
        <v>23</v>
      </c>
      <c r="B14" s="7">
        <v>76</v>
      </c>
      <c r="C14" s="10">
        <v>29.671052631578949</v>
      </c>
      <c r="D14" s="7">
        <v>995</v>
      </c>
      <c r="E14" s="7">
        <v>2255</v>
      </c>
      <c r="F14" s="7">
        <v>893</v>
      </c>
      <c r="G14" s="10">
        <v>5.4736842105263159</v>
      </c>
    </row>
    <row r="21" spans="5:10" x14ac:dyDescent="0.25">
      <c r="E21" s="8" t="s">
        <v>22</v>
      </c>
      <c r="F21" t="s">
        <v>27</v>
      </c>
      <c r="G21" t="s">
        <v>30</v>
      </c>
      <c r="H21" t="s">
        <v>31</v>
      </c>
      <c r="I21" t="s">
        <v>28</v>
      </c>
      <c r="J21" t="s">
        <v>29</v>
      </c>
    </row>
    <row r="22" spans="5:10" x14ac:dyDescent="0.25">
      <c r="E22" s="9" t="s">
        <v>1</v>
      </c>
      <c r="F22" s="12">
        <v>119</v>
      </c>
      <c r="G22" s="7">
        <v>15</v>
      </c>
      <c r="H22" s="10">
        <v>13.2</v>
      </c>
      <c r="I22" s="7">
        <v>23</v>
      </c>
      <c r="J22" s="7">
        <v>17</v>
      </c>
    </row>
    <row r="23" spans="5:10" x14ac:dyDescent="0.25">
      <c r="E23" s="9" t="s">
        <v>5</v>
      </c>
      <c r="F23" s="12">
        <v>313</v>
      </c>
      <c r="G23" s="7">
        <v>19</v>
      </c>
      <c r="H23" s="10">
        <v>16.3</v>
      </c>
      <c r="I23" s="7">
        <v>48</v>
      </c>
      <c r="J23" s="7">
        <v>34</v>
      </c>
    </row>
    <row r="24" spans="5:10" x14ac:dyDescent="0.25">
      <c r="E24" s="9" t="s">
        <v>10</v>
      </c>
      <c r="F24" s="12">
        <v>111</v>
      </c>
      <c r="G24" s="7">
        <v>14</v>
      </c>
      <c r="H24" s="10">
        <v>13.4</v>
      </c>
      <c r="I24" s="7">
        <v>30</v>
      </c>
      <c r="J24" s="7">
        <v>20</v>
      </c>
    </row>
    <row r="25" spans="5:10" x14ac:dyDescent="0.25">
      <c r="E25" s="9" t="s">
        <v>6</v>
      </c>
      <c r="F25" s="12">
        <v>344</v>
      </c>
      <c r="G25" s="7">
        <v>20</v>
      </c>
      <c r="H25" s="10">
        <v>12</v>
      </c>
      <c r="I25" s="7">
        <v>50</v>
      </c>
      <c r="J25" s="7">
        <v>34</v>
      </c>
    </row>
    <row r="26" spans="5:10" x14ac:dyDescent="0.25">
      <c r="E26" s="9" t="s">
        <v>4</v>
      </c>
      <c r="F26" s="12">
        <v>137</v>
      </c>
      <c r="G26" s="7">
        <v>20</v>
      </c>
      <c r="H26" s="10">
        <v>14.166666666666666</v>
      </c>
      <c r="I26" s="7">
        <v>26</v>
      </c>
      <c r="J26" s="7">
        <v>17</v>
      </c>
    </row>
    <row r="27" spans="5:10" x14ac:dyDescent="0.25">
      <c r="E27" s="9" t="s">
        <v>9</v>
      </c>
      <c r="F27" s="12">
        <v>228</v>
      </c>
      <c r="G27" s="7">
        <v>17</v>
      </c>
      <c r="H27" s="10">
        <v>13.285714285714286</v>
      </c>
      <c r="I27" s="7">
        <v>38</v>
      </c>
      <c r="J27" s="7">
        <v>30</v>
      </c>
    </row>
    <row r="28" spans="5:10" x14ac:dyDescent="0.25">
      <c r="E28" s="9" t="s">
        <v>8</v>
      </c>
      <c r="F28" s="12">
        <v>332</v>
      </c>
      <c r="G28" s="7">
        <v>20</v>
      </c>
      <c r="H28" s="10">
        <v>12.454545454545455</v>
      </c>
      <c r="I28" s="7">
        <v>58</v>
      </c>
      <c r="J28" s="7">
        <v>37</v>
      </c>
    </row>
    <row r="29" spans="5:10" x14ac:dyDescent="0.25">
      <c r="E29" s="9" t="s">
        <v>2</v>
      </c>
      <c r="F29" s="12">
        <v>242</v>
      </c>
      <c r="G29" s="7">
        <v>14</v>
      </c>
      <c r="H29" s="10">
        <v>9.75</v>
      </c>
      <c r="I29" s="7">
        <v>40</v>
      </c>
      <c r="J29" s="7">
        <v>14</v>
      </c>
    </row>
    <row r="30" spans="5:10" x14ac:dyDescent="0.25">
      <c r="E30" s="9" t="s">
        <v>3</v>
      </c>
      <c r="F30" s="12">
        <v>178</v>
      </c>
      <c r="G30" s="7">
        <v>15</v>
      </c>
      <c r="H30" s="10">
        <v>12.166666666666666</v>
      </c>
      <c r="I30" s="7">
        <v>34</v>
      </c>
      <c r="J30" s="7">
        <v>13</v>
      </c>
    </row>
    <row r="31" spans="5:10" x14ac:dyDescent="0.25">
      <c r="E31" s="9" t="s">
        <v>7</v>
      </c>
      <c r="F31" s="12">
        <v>257</v>
      </c>
      <c r="G31" s="7">
        <v>16</v>
      </c>
      <c r="H31" s="10">
        <v>13</v>
      </c>
      <c r="I31" s="7">
        <v>47</v>
      </c>
      <c r="J31" s="7">
        <v>21</v>
      </c>
    </row>
    <row r="32" spans="5:10" x14ac:dyDescent="0.25">
      <c r="E32" s="9" t="s">
        <v>23</v>
      </c>
      <c r="F32" s="7">
        <v>2261</v>
      </c>
      <c r="G32" s="7">
        <v>20</v>
      </c>
      <c r="H32" s="10">
        <v>12.986666666666666</v>
      </c>
      <c r="I32" s="7">
        <v>394</v>
      </c>
      <c r="J32" s="7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topLeftCell="A43" workbookViewId="0">
      <selection activeCell="J27" sqref="J27"/>
    </sheetView>
  </sheetViews>
  <sheetFormatPr defaultRowHeight="15" x14ac:dyDescent="0.25"/>
  <cols>
    <col min="2" max="2" width="24.28515625" bestFit="1" customWidth="1"/>
    <col min="3" max="3" width="10.5703125" bestFit="1" customWidth="1"/>
    <col min="4" max="4" width="13.28515625" bestFit="1" customWidth="1"/>
    <col min="5" max="5" width="9.85546875" bestFit="1" customWidth="1"/>
    <col min="6" max="6" width="13.85546875" bestFit="1" customWidth="1"/>
    <col min="7" max="7" width="17.5703125" bestFit="1" customWidth="1"/>
    <col min="11" max="11" width="20.7109375" bestFit="1" customWidth="1"/>
  </cols>
  <sheetData>
    <row r="1" spans="1:7" x14ac:dyDescent="0.25">
      <c r="A1" t="s">
        <v>11</v>
      </c>
      <c r="B1" t="s">
        <v>0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25">
      <c r="A2">
        <v>1</v>
      </c>
      <c r="B2" t="str">
        <f ca="1">INDEX(ΛΙΣΤΕΣ!$A$2:$A$11, RANDBETWEEN(1, COUNTA(ΛΙΣΤΕΣ!$A$2:$A$11)))</f>
        <v>Λάρι Μπερντ</v>
      </c>
      <c r="C2">
        <f ca="1">RANDBETWEEN(10, 50)</f>
        <v>19</v>
      </c>
      <c r="D2">
        <f ca="1">RANDBETWEEN(5, 20)</f>
        <v>15</v>
      </c>
      <c r="E2">
        <f t="shared" ref="E2:E17" ca="1" si="0">RANDBETWEEN(5, 20)</f>
        <v>8</v>
      </c>
      <c r="F2">
        <f ca="1">RANDBETWEEN(3, 8)</f>
        <v>6</v>
      </c>
      <c r="G2">
        <f ca="1">RANDBETWEEN(1, 5)</f>
        <v>5</v>
      </c>
    </row>
    <row r="3" spans="1:7" x14ac:dyDescent="0.25">
      <c r="A3">
        <v>2</v>
      </c>
      <c r="B3" t="str">
        <f ca="1">INDEX(ΛΙΣΤΕΣ!$A$2:$A$11, RANDBETWEEN(1, COUNTA(ΛΙΣΤΕΣ!$A$2:$A$11)))</f>
        <v>Γιάννης Αντετοκούνμπο</v>
      </c>
      <c r="C3">
        <f t="shared" ref="C3:C66" ca="1" si="1">RANDBETWEEN(10, 50)</f>
        <v>17</v>
      </c>
      <c r="D3">
        <f t="shared" ref="D3:D66" ca="1" si="2">RANDBETWEEN(5, 20)</f>
        <v>10</v>
      </c>
      <c r="E3">
        <f t="shared" ca="1" si="0"/>
        <v>13</v>
      </c>
      <c r="F3">
        <f t="shared" ref="F3:F66" ca="1" si="3">RANDBETWEEN(3, 8)</f>
        <v>7</v>
      </c>
      <c r="G3">
        <f t="shared" ref="G3:G66" ca="1" si="4">RANDBETWEEN(1, 5)</f>
        <v>2</v>
      </c>
    </row>
    <row r="4" spans="1:7" x14ac:dyDescent="0.25">
      <c r="A4">
        <v>3</v>
      </c>
      <c r="B4" t="str">
        <f ca="1">INDEX(ΛΙΣΤΕΣ!$A$2:$A$11, RANDBETWEEN(1, COUNTA(ΛΙΣΤΕΣ!$A$2:$A$11)))</f>
        <v>Γιάννης Αντετοκούνμπο</v>
      </c>
      <c r="C4">
        <f t="shared" ca="1" si="1"/>
        <v>38</v>
      </c>
      <c r="D4">
        <f t="shared" ca="1" si="2"/>
        <v>10</v>
      </c>
      <c r="E4">
        <f t="shared" ca="1" si="0"/>
        <v>15</v>
      </c>
      <c r="F4">
        <f t="shared" ca="1" si="3"/>
        <v>6</v>
      </c>
      <c r="G4">
        <f t="shared" ca="1" si="4"/>
        <v>3</v>
      </c>
    </row>
    <row r="5" spans="1:7" x14ac:dyDescent="0.25">
      <c r="A5">
        <v>4</v>
      </c>
      <c r="B5" t="str">
        <f ca="1">INDEX(ΛΙΣΤΕΣ!$A$2:$A$11, RANDBETWEEN(1, COUNTA(ΛΙΣΤΕΣ!$A$2:$A$11)))</f>
        <v>Γιάννης Αντετοκούνμπο</v>
      </c>
      <c r="C5">
        <f t="shared" ca="1" si="1"/>
        <v>18</v>
      </c>
      <c r="D5">
        <f t="shared" ca="1" si="2"/>
        <v>20</v>
      </c>
      <c r="E5">
        <f t="shared" ca="1" si="0"/>
        <v>8</v>
      </c>
      <c r="F5">
        <f t="shared" ca="1" si="3"/>
        <v>8</v>
      </c>
      <c r="G5">
        <f t="shared" ca="1" si="4"/>
        <v>2</v>
      </c>
    </row>
    <row r="6" spans="1:7" x14ac:dyDescent="0.25">
      <c r="A6">
        <v>5</v>
      </c>
      <c r="B6" t="str">
        <f ca="1">INDEX(ΛΙΣΤΕΣ!$A$2:$A$11, RANDBETWEEN(1, COUNTA(ΛΙΣΤΕΣ!$A$2:$A$11)))</f>
        <v>Ουόλτ Φρέιζερ</v>
      </c>
      <c r="C6">
        <f t="shared" ca="1" si="1"/>
        <v>42</v>
      </c>
      <c r="D6">
        <f t="shared" ca="1" si="2"/>
        <v>9</v>
      </c>
      <c r="E6">
        <f t="shared" ca="1" si="0"/>
        <v>18</v>
      </c>
      <c r="F6">
        <f t="shared" ca="1" si="3"/>
        <v>8</v>
      </c>
      <c r="G6">
        <f t="shared" ca="1" si="4"/>
        <v>5</v>
      </c>
    </row>
    <row r="7" spans="1:7" x14ac:dyDescent="0.25">
      <c r="A7">
        <v>6</v>
      </c>
      <c r="B7" t="str">
        <f ca="1">INDEX(ΛΙΣΤΕΣ!$A$2:$A$11, RANDBETWEEN(1, COUNTA(ΛΙΣΤΕΣ!$A$2:$A$11)))</f>
        <v>Γιάννης Αντετοκούνμπο</v>
      </c>
      <c r="C7">
        <f t="shared" ca="1" si="1"/>
        <v>28</v>
      </c>
      <c r="D7">
        <f t="shared" ca="1" si="2"/>
        <v>16</v>
      </c>
      <c r="E7">
        <f t="shared" ca="1" si="0"/>
        <v>8</v>
      </c>
      <c r="F7">
        <f t="shared" ca="1" si="3"/>
        <v>5</v>
      </c>
      <c r="G7">
        <f t="shared" ca="1" si="4"/>
        <v>5</v>
      </c>
    </row>
    <row r="8" spans="1:7" x14ac:dyDescent="0.25">
      <c r="A8">
        <v>7</v>
      </c>
      <c r="B8" t="str">
        <f ca="1">INDEX(ΛΙΣΤΕΣ!$A$2:$A$11, RANDBETWEEN(1, COUNTA(ΛΙΣΤΕΣ!$A$2:$A$11)))</f>
        <v>Πολ Άριζιν</v>
      </c>
      <c r="C8">
        <f t="shared" ca="1" si="1"/>
        <v>25</v>
      </c>
      <c r="D8">
        <f t="shared" ca="1" si="2"/>
        <v>18</v>
      </c>
      <c r="E8">
        <f t="shared" ca="1" si="0"/>
        <v>11</v>
      </c>
      <c r="F8">
        <f t="shared" ca="1" si="3"/>
        <v>5</v>
      </c>
      <c r="G8">
        <f t="shared" ca="1" si="4"/>
        <v>3</v>
      </c>
    </row>
    <row r="9" spans="1:7" x14ac:dyDescent="0.25">
      <c r="A9">
        <v>8</v>
      </c>
      <c r="B9" t="str">
        <f ca="1">INDEX(ΛΙΣΤΕΣ!$A$2:$A$11, RANDBETWEEN(1, COUNTA(ΛΙΣΤΕΣ!$A$2:$A$11)))</f>
        <v>Κλάιντ Ντρέξλερ</v>
      </c>
      <c r="C9">
        <f t="shared" ca="1" si="1"/>
        <v>42</v>
      </c>
      <c r="D9">
        <f t="shared" ca="1" si="2"/>
        <v>13</v>
      </c>
      <c r="E9">
        <f t="shared" ca="1" si="0"/>
        <v>16</v>
      </c>
      <c r="F9">
        <f t="shared" ca="1" si="3"/>
        <v>6</v>
      </c>
      <c r="G9">
        <f t="shared" ca="1" si="4"/>
        <v>4</v>
      </c>
    </row>
    <row r="10" spans="1:7" x14ac:dyDescent="0.25">
      <c r="A10">
        <v>9</v>
      </c>
      <c r="B10" t="str">
        <f ca="1">INDEX(ΛΙΣΤΕΣ!$A$2:$A$11, RANDBETWEEN(1, COUNTA(ΛΙΣΤΕΣ!$A$2:$A$11)))</f>
        <v>Πολ Άριζιν</v>
      </c>
      <c r="C10">
        <f t="shared" ca="1" si="1"/>
        <v>47</v>
      </c>
      <c r="D10">
        <f t="shared" ca="1" si="2"/>
        <v>16</v>
      </c>
      <c r="E10">
        <f t="shared" ca="1" si="0"/>
        <v>19</v>
      </c>
      <c r="F10">
        <f t="shared" ca="1" si="3"/>
        <v>4</v>
      </c>
      <c r="G10">
        <f t="shared" ca="1" si="4"/>
        <v>4</v>
      </c>
    </row>
    <row r="11" spans="1:7" x14ac:dyDescent="0.25">
      <c r="A11">
        <v>10</v>
      </c>
      <c r="B11" t="str">
        <f ca="1">INDEX(ΛΙΣΤΕΣ!$A$2:$A$11, RANDBETWEEN(1, COUNTA(ΛΙΣΤΕΣ!$A$2:$A$11)))</f>
        <v>Γιάννης Αντετοκούνμπο</v>
      </c>
      <c r="C11">
        <f t="shared" ca="1" si="1"/>
        <v>23</v>
      </c>
      <c r="D11">
        <f t="shared" ca="1" si="2"/>
        <v>14</v>
      </c>
      <c r="E11">
        <f t="shared" ca="1" si="0"/>
        <v>20</v>
      </c>
      <c r="F11">
        <f t="shared" ca="1" si="3"/>
        <v>3</v>
      </c>
      <c r="G11">
        <f t="shared" ca="1" si="4"/>
        <v>4</v>
      </c>
    </row>
    <row r="12" spans="1:7" x14ac:dyDescent="0.25">
      <c r="A12">
        <v>11</v>
      </c>
      <c r="B12" t="str">
        <f ca="1">INDEX(ΛΙΣΤΕΣ!$A$2:$A$11, RANDBETWEEN(1, COUNTA(ΛΙΣΤΕΣ!$A$2:$A$11)))</f>
        <v>Τιμ Ντάνκαν</v>
      </c>
      <c r="C12">
        <f t="shared" ca="1" si="1"/>
        <v>48</v>
      </c>
      <c r="D12">
        <f t="shared" ca="1" si="2"/>
        <v>19</v>
      </c>
      <c r="E12">
        <f t="shared" ca="1" si="0"/>
        <v>9</v>
      </c>
      <c r="F12">
        <f t="shared" ca="1" si="3"/>
        <v>5</v>
      </c>
      <c r="G12">
        <f t="shared" ca="1" si="4"/>
        <v>3</v>
      </c>
    </row>
    <row r="13" spans="1:7" x14ac:dyDescent="0.25">
      <c r="A13">
        <v>12</v>
      </c>
      <c r="B13" t="str">
        <f ca="1">INDEX(ΛΙΣΤΕΣ!$A$2:$A$11, RANDBETWEEN(1, COUNTA(ΛΙΣΤΕΣ!$A$2:$A$11)))</f>
        <v>Γουίλτ Τσάμπερλεϊν</v>
      </c>
      <c r="C13">
        <f t="shared" ca="1" si="1"/>
        <v>10</v>
      </c>
      <c r="D13">
        <f t="shared" ca="1" si="2"/>
        <v>8</v>
      </c>
      <c r="E13">
        <f t="shared" ca="1" si="0"/>
        <v>15</v>
      </c>
      <c r="F13">
        <f t="shared" ca="1" si="3"/>
        <v>6</v>
      </c>
      <c r="G13">
        <f t="shared" ca="1" si="4"/>
        <v>4</v>
      </c>
    </row>
    <row r="14" spans="1:7" x14ac:dyDescent="0.25">
      <c r="A14">
        <v>13</v>
      </c>
      <c r="B14" t="str">
        <f ca="1">INDEX(ΛΙΣΤΕΣ!$A$2:$A$11, RANDBETWEEN(1, COUNTA(ΛΙΣΤΕΣ!$A$2:$A$11)))</f>
        <v>Γιάννης Αντετοκούνμπο</v>
      </c>
      <c r="C14">
        <f t="shared" ca="1" si="1"/>
        <v>23</v>
      </c>
      <c r="D14">
        <f t="shared" ca="1" si="2"/>
        <v>15</v>
      </c>
      <c r="E14">
        <f t="shared" ca="1" si="0"/>
        <v>6</v>
      </c>
      <c r="F14">
        <f t="shared" ca="1" si="3"/>
        <v>8</v>
      </c>
      <c r="G14">
        <f t="shared" ca="1" si="4"/>
        <v>3</v>
      </c>
    </row>
    <row r="15" spans="1:7" x14ac:dyDescent="0.25">
      <c r="A15">
        <v>14</v>
      </c>
      <c r="B15" t="str">
        <f ca="1">INDEX(ΛΙΣΤΕΣ!$A$2:$A$11, RANDBETWEEN(1, COUNTA(ΛΙΣΤΕΣ!$A$2:$A$11)))</f>
        <v>Λάρι Μπερντ</v>
      </c>
      <c r="C15">
        <f t="shared" ca="1" si="1"/>
        <v>38</v>
      </c>
      <c r="D15">
        <f t="shared" ca="1" si="2"/>
        <v>10</v>
      </c>
      <c r="E15">
        <f t="shared" ca="1" si="0"/>
        <v>9</v>
      </c>
      <c r="F15">
        <f t="shared" ca="1" si="3"/>
        <v>7</v>
      </c>
      <c r="G15">
        <f t="shared" ca="1" si="4"/>
        <v>3</v>
      </c>
    </row>
    <row r="16" spans="1:7" x14ac:dyDescent="0.25">
      <c r="A16">
        <v>15</v>
      </c>
      <c r="B16" t="str">
        <f ca="1">INDEX(ΛΙΣΤΕΣ!$A$2:$A$11, RANDBETWEEN(1, COUNTA(ΛΙΣΤΕΣ!$A$2:$A$11)))</f>
        <v>Ρικ Μπάρι</v>
      </c>
      <c r="C16">
        <f t="shared" ca="1" si="1"/>
        <v>35</v>
      </c>
      <c r="D16">
        <f t="shared" ca="1" si="2"/>
        <v>16</v>
      </c>
      <c r="E16">
        <f t="shared" ca="1" si="0"/>
        <v>9</v>
      </c>
      <c r="F16">
        <f t="shared" ca="1" si="3"/>
        <v>4</v>
      </c>
      <c r="G16">
        <f t="shared" ca="1" si="4"/>
        <v>3</v>
      </c>
    </row>
    <row r="17" spans="1:7" x14ac:dyDescent="0.25">
      <c r="A17">
        <v>16</v>
      </c>
      <c r="B17" t="str">
        <f ca="1">INDEX(ΛΙΣΤΕΣ!$A$2:$A$11, RANDBETWEEN(1, COUNTA(ΛΙΣΤΕΣ!$A$2:$A$11)))</f>
        <v>Τιμ Ντάνκαν</v>
      </c>
      <c r="C17">
        <f t="shared" ca="1" si="1"/>
        <v>12</v>
      </c>
      <c r="D17">
        <f t="shared" ca="1" si="2"/>
        <v>9</v>
      </c>
      <c r="E17">
        <f t="shared" ca="1" si="0"/>
        <v>19</v>
      </c>
      <c r="F17">
        <f t="shared" ca="1" si="3"/>
        <v>4</v>
      </c>
      <c r="G17">
        <f t="shared" ca="1" si="4"/>
        <v>4</v>
      </c>
    </row>
    <row r="18" spans="1:7" x14ac:dyDescent="0.25">
      <c r="A18">
        <v>17</v>
      </c>
      <c r="B18" t="str">
        <f ca="1">INDEX(ΛΙΣΤΕΣ!$A$2:$A$11, RANDBETWEEN(1, COUNTA(ΛΙΣΤΕΣ!$A$2:$A$11)))</f>
        <v>Κέβιν Γκαρνέτ</v>
      </c>
      <c r="C18">
        <f t="shared" ca="1" si="1"/>
        <v>26</v>
      </c>
      <c r="D18">
        <f t="shared" ca="1" si="2"/>
        <v>18</v>
      </c>
      <c r="E18">
        <f t="shared" ref="E18:E77" ca="1" si="5">RANDBETWEEN(5, 20)</f>
        <v>13</v>
      </c>
      <c r="F18">
        <f t="shared" ca="1" si="3"/>
        <v>8</v>
      </c>
      <c r="G18">
        <f t="shared" ca="1" si="4"/>
        <v>3</v>
      </c>
    </row>
    <row r="19" spans="1:7" x14ac:dyDescent="0.25">
      <c r="A19">
        <v>18</v>
      </c>
      <c r="B19" t="str">
        <f ca="1">INDEX(ΛΙΣΤΕΣ!$A$2:$A$11, RANDBETWEEN(1, COUNTA(ΛΙΣΤΕΣ!$A$2:$A$11)))</f>
        <v>Γιάννης Αντετοκούνμπο</v>
      </c>
      <c r="C19">
        <f t="shared" ca="1" si="1"/>
        <v>45</v>
      </c>
      <c r="D19">
        <f t="shared" ca="1" si="2"/>
        <v>6</v>
      </c>
      <c r="E19">
        <f t="shared" ca="1" si="5"/>
        <v>18</v>
      </c>
      <c r="F19">
        <f t="shared" ca="1" si="3"/>
        <v>4</v>
      </c>
      <c r="G19">
        <f t="shared" ca="1" si="4"/>
        <v>2</v>
      </c>
    </row>
    <row r="20" spans="1:7" x14ac:dyDescent="0.25">
      <c r="A20">
        <v>19</v>
      </c>
      <c r="B20" t="str">
        <f ca="1">INDEX(ΛΙΣΤΕΣ!$A$2:$A$11, RANDBETWEEN(1, COUNTA(ΛΙΣΤΕΣ!$A$2:$A$11)))</f>
        <v>Ρικ Μπάρι</v>
      </c>
      <c r="C20">
        <f t="shared" ca="1" si="1"/>
        <v>16</v>
      </c>
      <c r="D20">
        <f t="shared" ca="1" si="2"/>
        <v>14</v>
      </c>
      <c r="E20">
        <f t="shared" ca="1" si="5"/>
        <v>10</v>
      </c>
      <c r="F20">
        <f t="shared" ca="1" si="3"/>
        <v>6</v>
      </c>
      <c r="G20">
        <f t="shared" ca="1" si="4"/>
        <v>1</v>
      </c>
    </row>
    <row r="21" spans="1:7" x14ac:dyDescent="0.25">
      <c r="A21">
        <v>20</v>
      </c>
      <c r="B21" t="str">
        <f ca="1">INDEX(ΛΙΣΤΕΣ!$A$2:$A$11, RANDBETWEEN(1, COUNTA(ΛΙΣΤΕΣ!$A$2:$A$11)))</f>
        <v>Κλάιντ Ντρέξλερ</v>
      </c>
      <c r="C21">
        <f t="shared" ca="1" si="1"/>
        <v>28</v>
      </c>
      <c r="D21">
        <f t="shared" ca="1" si="2"/>
        <v>5</v>
      </c>
      <c r="E21">
        <f t="shared" ca="1" si="5"/>
        <v>13</v>
      </c>
      <c r="F21">
        <f t="shared" ca="1" si="3"/>
        <v>7</v>
      </c>
      <c r="G21">
        <f t="shared" ca="1" si="4"/>
        <v>5</v>
      </c>
    </row>
    <row r="22" spans="1:7" x14ac:dyDescent="0.25">
      <c r="A22">
        <v>21</v>
      </c>
      <c r="B22" t="str">
        <f ca="1">INDEX(ΛΙΣΤΕΣ!$A$2:$A$11, RANDBETWEEN(1, COUNTA(ΛΙΣΤΕΣ!$A$2:$A$11)))</f>
        <v>Πάτρικ Γιούιν</v>
      </c>
      <c r="C22">
        <f t="shared" ca="1" si="1"/>
        <v>21</v>
      </c>
      <c r="D22">
        <f t="shared" ca="1" si="2"/>
        <v>17</v>
      </c>
      <c r="E22">
        <f t="shared" ca="1" si="5"/>
        <v>5</v>
      </c>
      <c r="F22">
        <f t="shared" ca="1" si="3"/>
        <v>5</v>
      </c>
      <c r="G22">
        <f t="shared" ca="1" si="4"/>
        <v>4</v>
      </c>
    </row>
    <row r="23" spans="1:7" x14ac:dyDescent="0.25">
      <c r="A23">
        <v>22</v>
      </c>
      <c r="B23" t="str">
        <f ca="1">INDEX(ΛΙΣΤΕΣ!$A$2:$A$11, RANDBETWEEN(1, COUNTA(ΛΙΣΤΕΣ!$A$2:$A$11)))</f>
        <v>Πολ Άριζιν</v>
      </c>
      <c r="C23">
        <f t="shared" ca="1" si="1"/>
        <v>10</v>
      </c>
      <c r="D23">
        <f t="shared" ca="1" si="2"/>
        <v>15</v>
      </c>
      <c r="E23">
        <f t="shared" ca="1" si="5"/>
        <v>10</v>
      </c>
      <c r="F23">
        <f t="shared" ca="1" si="3"/>
        <v>6</v>
      </c>
      <c r="G23">
        <f t="shared" ca="1" si="4"/>
        <v>5</v>
      </c>
    </row>
    <row r="24" spans="1:7" x14ac:dyDescent="0.25">
      <c r="A24">
        <v>23</v>
      </c>
      <c r="B24" t="str">
        <f ca="1">INDEX(ΛΙΣΤΕΣ!$A$2:$A$11, RANDBETWEEN(1, COUNTA(ΛΙΣΤΕΣ!$A$2:$A$11)))</f>
        <v>Ρικ Μπάρι</v>
      </c>
      <c r="C24">
        <f t="shared" ca="1" si="1"/>
        <v>43</v>
      </c>
      <c r="D24">
        <f t="shared" ca="1" si="2"/>
        <v>10</v>
      </c>
      <c r="E24">
        <f t="shared" ca="1" si="5"/>
        <v>8</v>
      </c>
      <c r="F24">
        <f t="shared" ca="1" si="3"/>
        <v>3</v>
      </c>
      <c r="G24">
        <f t="shared" ca="1" si="4"/>
        <v>1</v>
      </c>
    </row>
    <row r="25" spans="1:7" x14ac:dyDescent="0.25">
      <c r="A25">
        <v>24</v>
      </c>
      <c r="B25" t="str">
        <f ca="1">INDEX(ΛΙΣΤΕΣ!$A$2:$A$11, RANDBETWEEN(1, COUNTA(ΛΙΣΤΕΣ!$A$2:$A$11)))</f>
        <v>Πολ Άριζιν</v>
      </c>
      <c r="C25">
        <f t="shared" ca="1" si="1"/>
        <v>21</v>
      </c>
      <c r="D25">
        <f t="shared" ca="1" si="2"/>
        <v>20</v>
      </c>
      <c r="E25">
        <f t="shared" ca="1" si="5"/>
        <v>10</v>
      </c>
      <c r="F25">
        <f t="shared" ca="1" si="3"/>
        <v>4</v>
      </c>
      <c r="G25">
        <f t="shared" ca="1" si="4"/>
        <v>1</v>
      </c>
    </row>
    <row r="26" spans="1:7" x14ac:dyDescent="0.25">
      <c r="A26">
        <v>25</v>
      </c>
      <c r="B26" t="str">
        <f ca="1">INDEX(ΛΙΣΤΕΣ!$A$2:$A$11, RANDBETWEEN(1, COUNTA(ΛΙΣΤΕΣ!$A$2:$A$11)))</f>
        <v>Πολ Άριζιν</v>
      </c>
      <c r="C26">
        <f t="shared" ca="1" si="1"/>
        <v>40</v>
      </c>
      <c r="D26">
        <f t="shared" ca="1" si="2"/>
        <v>15</v>
      </c>
      <c r="E26">
        <f t="shared" ca="1" si="5"/>
        <v>14</v>
      </c>
      <c r="F26">
        <f t="shared" ca="1" si="3"/>
        <v>6</v>
      </c>
      <c r="G26">
        <f t="shared" ca="1" si="4"/>
        <v>2</v>
      </c>
    </row>
    <row r="27" spans="1:7" x14ac:dyDescent="0.25">
      <c r="A27">
        <v>26</v>
      </c>
      <c r="B27" t="str">
        <f ca="1">INDEX(ΛΙΣΤΕΣ!$A$2:$A$11, RANDBETWEEN(1, COUNTA(ΛΙΣΤΕΣ!$A$2:$A$11)))</f>
        <v>Κέβιν Γκαρνέτ</v>
      </c>
      <c r="C27">
        <f t="shared" ca="1" si="1"/>
        <v>29</v>
      </c>
      <c r="D27">
        <f t="shared" ca="1" si="2"/>
        <v>10</v>
      </c>
      <c r="E27">
        <f t="shared" ca="1" si="5"/>
        <v>13</v>
      </c>
      <c r="F27">
        <f t="shared" ca="1" si="3"/>
        <v>6</v>
      </c>
      <c r="G27">
        <f t="shared" ca="1" si="4"/>
        <v>2</v>
      </c>
    </row>
    <row r="28" spans="1:7" x14ac:dyDescent="0.25">
      <c r="A28">
        <v>27</v>
      </c>
      <c r="B28" t="str">
        <f ca="1">INDEX(ΛΙΣΤΕΣ!$A$2:$A$11, RANDBETWEEN(1, COUNTA(ΛΙΣΤΕΣ!$A$2:$A$11)))</f>
        <v>Ουόλτ Φρέιζερ</v>
      </c>
      <c r="C28">
        <f t="shared" ca="1" si="1"/>
        <v>26</v>
      </c>
      <c r="D28">
        <f t="shared" ca="1" si="2"/>
        <v>17</v>
      </c>
      <c r="E28">
        <f t="shared" ca="1" si="5"/>
        <v>14</v>
      </c>
      <c r="F28">
        <f t="shared" ca="1" si="3"/>
        <v>6</v>
      </c>
      <c r="G28">
        <f t="shared" ca="1" si="4"/>
        <v>1</v>
      </c>
    </row>
    <row r="29" spans="1:7" x14ac:dyDescent="0.25">
      <c r="A29">
        <v>28</v>
      </c>
      <c r="B29" t="str">
        <f ca="1">INDEX(ΛΙΣΤΕΣ!$A$2:$A$11, RANDBETWEEN(1, COUNTA(ΛΙΣΤΕΣ!$A$2:$A$11)))</f>
        <v>Γουίλτ Τσάμπερλεϊν</v>
      </c>
      <c r="C29">
        <f t="shared" ca="1" si="1"/>
        <v>27</v>
      </c>
      <c r="D29">
        <f t="shared" ca="1" si="2"/>
        <v>10</v>
      </c>
      <c r="E29">
        <f t="shared" ca="1" si="5"/>
        <v>7</v>
      </c>
      <c r="F29">
        <f t="shared" ca="1" si="3"/>
        <v>6</v>
      </c>
      <c r="G29">
        <f t="shared" ca="1" si="4"/>
        <v>5</v>
      </c>
    </row>
    <row r="30" spans="1:7" x14ac:dyDescent="0.25">
      <c r="A30">
        <v>29</v>
      </c>
      <c r="B30" t="str">
        <f ca="1">INDEX(ΛΙΣΤΕΣ!$A$2:$A$11, RANDBETWEEN(1, COUNTA(ΛΙΣΤΕΣ!$A$2:$A$11)))</f>
        <v>Λάρι Μπερντ</v>
      </c>
      <c r="C30">
        <f t="shared" ca="1" si="1"/>
        <v>32</v>
      </c>
      <c r="D30">
        <f t="shared" ca="1" si="2"/>
        <v>6</v>
      </c>
      <c r="E30">
        <f t="shared" ca="1" si="5"/>
        <v>12</v>
      </c>
      <c r="F30">
        <f t="shared" ca="1" si="3"/>
        <v>7</v>
      </c>
      <c r="G30">
        <f t="shared" ca="1" si="4"/>
        <v>4</v>
      </c>
    </row>
    <row r="31" spans="1:7" x14ac:dyDescent="0.25">
      <c r="A31">
        <v>30</v>
      </c>
      <c r="B31" t="str">
        <f ca="1">INDEX(ΛΙΣΤΕΣ!$A$2:$A$11, RANDBETWEEN(1, COUNTA(ΛΙΣΤΕΣ!$A$2:$A$11)))</f>
        <v>Τιμ Ντάνκαν</v>
      </c>
      <c r="C31">
        <f t="shared" ca="1" si="1"/>
        <v>46</v>
      </c>
      <c r="D31">
        <f t="shared" ca="1" si="2"/>
        <v>17</v>
      </c>
      <c r="E31">
        <f t="shared" ca="1" si="5"/>
        <v>5</v>
      </c>
      <c r="F31">
        <f t="shared" ca="1" si="3"/>
        <v>5</v>
      </c>
      <c r="G31">
        <f t="shared" ca="1" si="4"/>
        <v>2</v>
      </c>
    </row>
    <row r="32" spans="1:7" x14ac:dyDescent="0.25">
      <c r="A32">
        <v>31</v>
      </c>
      <c r="B32" t="str">
        <f ca="1">INDEX(ΛΙΣΤΕΣ!$A$2:$A$11, RANDBETWEEN(1, COUNTA(ΛΙΣΤΕΣ!$A$2:$A$11)))</f>
        <v>Ρικ Μπάρι</v>
      </c>
      <c r="C32">
        <f t="shared" ca="1" si="1"/>
        <v>24</v>
      </c>
      <c r="D32">
        <f t="shared" ca="1" si="2"/>
        <v>10</v>
      </c>
      <c r="E32">
        <f t="shared" ca="1" si="5"/>
        <v>11</v>
      </c>
      <c r="F32">
        <f t="shared" ca="1" si="3"/>
        <v>7</v>
      </c>
      <c r="G32">
        <f t="shared" ca="1" si="4"/>
        <v>2</v>
      </c>
    </row>
    <row r="33" spans="1:7" x14ac:dyDescent="0.25">
      <c r="A33">
        <v>32</v>
      </c>
      <c r="B33" t="str">
        <f ca="1">INDEX(ΛΙΣΤΕΣ!$A$2:$A$11, RANDBETWEEN(1, COUNTA(ΛΙΣΤΕΣ!$A$2:$A$11)))</f>
        <v>Πάτρικ Γιούιν</v>
      </c>
      <c r="C33">
        <f t="shared" ca="1" si="1"/>
        <v>50</v>
      </c>
      <c r="D33">
        <f t="shared" ca="1" si="2"/>
        <v>17</v>
      </c>
      <c r="E33">
        <f t="shared" ca="1" si="5"/>
        <v>18</v>
      </c>
      <c r="F33">
        <f t="shared" ca="1" si="3"/>
        <v>7</v>
      </c>
      <c r="G33">
        <f t="shared" ca="1" si="4"/>
        <v>4</v>
      </c>
    </row>
    <row r="34" spans="1:7" x14ac:dyDescent="0.25">
      <c r="A34">
        <v>33</v>
      </c>
      <c r="B34" t="str">
        <f ca="1">INDEX(ΛΙΣΤΕΣ!$A$2:$A$11, RANDBETWEEN(1, COUNTA(ΛΙΣΤΕΣ!$A$2:$A$11)))</f>
        <v>Κέβιν Γκαρνέτ</v>
      </c>
      <c r="C34">
        <f t="shared" ca="1" si="1"/>
        <v>30</v>
      </c>
      <c r="D34">
        <f t="shared" ca="1" si="2"/>
        <v>9</v>
      </c>
      <c r="E34">
        <f t="shared" ca="1" si="5"/>
        <v>8</v>
      </c>
      <c r="F34">
        <f t="shared" ca="1" si="3"/>
        <v>3</v>
      </c>
      <c r="G34">
        <f t="shared" ca="1" si="4"/>
        <v>4</v>
      </c>
    </row>
    <row r="35" spans="1:7" x14ac:dyDescent="0.25">
      <c r="A35">
        <v>34</v>
      </c>
      <c r="B35" t="str">
        <f ca="1">INDEX(ΛΙΣΤΕΣ!$A$2:$A$11, RANDBETWEEN(1, COUNTA(ΛΙΣΤΕΣ!$A$2:$A$11)))</f>
        <v>Γιάννης Αντετοκούνμπο</v>
      </c>
      <c r="C35">
        <f t="shared" ca="1" si="1"/>
        <v>48</v>
      </c>
      <c r="D35">
        <f t="shared" ca="1" si="2"/>
        <v>19</v>
      </c>
      <c r="E35">
        <f t="shared" ca="1" si="5"/>
        <v>8</v>
      </c>
      <c r="F35">
        <f t="shared" ca="1" si="3"/>
        <v>5</v>
      </c>
      <c r="G35">
        <f t="shared" ca="1" si="4"/>
        <v>3</v>
      </c>
    </row>
    <row r="36" spans="1:7" x14ac:dyDescent="0.25">
      <c r="A36">
        <v>35</v>
      </c>
      <c r="B36" t="str">
        <f ca="1">INDEX(ΛΙΣΤΕΣ!$A$2:$A$11, RANDBETWEEN(1, COUNTA(ΛΙΣΤΕΣ!$A$2:$A$11)))</f>
        <v>Λάρι Μπερντ</v>
      </c>
      <c r="C36">
        <f t="shared" ca="1" si="1"/>
        <v>25</v>
      </c>
      <c r="D36">
        <f t="shared" ca="1" si="2"/>
        <v>11</v>
      </c>
      <c r="E36">
        <f t="shared" ca="1" si="5"/>
        <v>6</v>
      </c>
      <c r="F36">
        <f t="shared" ca="1" si="3"/>
        <v>7</v>
      </c>
      <c r="G36">
        <f t="shared" ca="1" si="4"/>
        <v>3</v>
      </c>
    </row>
    <row r="37" spans="1:7" x14ac:dyDescent="0.25">
      <c r="A37">
        <v>36</v>
      </c>
      <c r="B37" t="str">
        <f ca="1">INDEX(ΛΙΣΤΕΣ!$A$2:$A$11, RANDBETWEEN(1, COUNTA(ΛΙΣΤΕΣ!$A$2:$A$11)))</f>
        <v>Κέβιν Γκαρνέτ</v>
      </c>
      <c r="C37">
        <f t="shared" ca="1" si="1"/>
        <v>33</v>
      </c>
      <c r="D37">
        <f t="shared" ca="1" si="2"/>
        <v>16</v>
      </c>
      <c r="E37">
        <f t="shared" ca="1" si="5"/>
        <v>9</v>
      </c>
      <c r="F37">
        <f t="shared" ca="1" si="3"/>
        <v>3</v>
      </c>
      <c r="G37">
        <f t="shared" ca="1" si="4"/>
        <v>5</v>
      </c>
    </row>
    <row r="38" spans="1:7" x14ac:dyDescent="0.25">
      <c r="A38">
        <v>37</v>
      </c>
      <c r="B38" t="str">
        <f ca="1">INDEX(ΛΙΣΤΕΣ!$A$2:$A$11, RANDBETWEEN(1, COUNTA(ΛΙΣΤΕΣ!$A$2:$A$11)))</f>
        <v>Πάτρικ Γιούιν</v>
      </c>
      <c r="C38">
        <f t="shared" ca="1" si="1"/>
        <v>44</v>
      </c>
      <c r="D38">
        <f t="shared" ca="1" si="2"/>
        <v>16</v>
      </c>
      <c r="E38">
        <f t="shared" ca="1" si="5"/>
        <v>7</v>
      </c>
      <c r="F38">
        <f t="shared" ca="1" si="3"/>
        <v>7</v>
      </c>
      <c r="G38">
        <f t="shared" ca="1" si="4"/>
        <v>2</v>
      </c>
    </row>
    <row r="39" spans="1:7" x14ac:dyDescent="0.25">
      <c r="A39">
        <v>38</v>
      </c>
      <c r="B39" t="str">
        <f ca="1">INDEX(ΛΙΣΤΕΣ!$A$2:$A$11, RANDBETWEEN(1, COUNTA(ΛΙΣΤΕΣ!$A$2:$A$11)))</f>
        <v>Τιμ Ντάνκαν</v>
      </c>
      <c r="C39">
        <f t="shared" ca="1" si="1"/>
        <v>42</v>
      </c>
      <c r="D39">
        <f t="shared" ca="1" si="2"/>
        <v>11</v>
      </c>
      <c r="E39">
        <f t="shared" ca="1" si="5"/>
        <v>6</v>
      </c>
      <c r="F39">
        <f t="shared" ca="1" si="3"/>
        <v>4</v>
      </c>
      <c r="G39">
        <f t="shared" ca="1" si="4"/>
        <v>3</v>
      </c>
    </row>
    <row r="40" spans="1:7" x14ac:dyDescent="0.25">
      <c r="A40">
        <v>39</v>
      </c>
      <c r="B40" t="str">
        <f ca="1">INDEX(ΛΙΣΤΕΣ!$A$2:$A$11, RANDBETWEEN(1, COUNTA(ΛΙΣΤΕΣ!$A$2:$A$11)))</f>
        <v>Ρικ Μπάρι</v>
      </c>
      <c r="C40">
        <f t="shared" ca="1" si="1"/>
        <v>47</v>
      </c>
      <c r="D40">
        <f t="shared" ca="1" si="2"/>
        <v>20</v>
      </c>
      <c r="E40">
        <f t="shared" ca="1" si="5"/>
        <v>15</v>
      </c>
      <c r="F40">
        <f t="shared" ca="1" si="3"/>
        <v>3</v>
      </c>
      <c r="G40">
        <f t="shared" ca="1" si="4"/>
        <v>1</v>
      </c>
    </row>
    <row r="41" spans="1:7" x14ac:dyDescent="0.25">
      <c r="A41">
        <v>40</v>
      </c>
      <c r="B41" t="str">
        <f ca="1">INDEX(ΛΙΣΤΕΣ!$A$2:$A$11, RANDBETWEEN(1, COUNTA(ΛΙΣΤΕΣ!$A$2:$A$11)))</f>
        <v>Τιμ Ντάνκαν</v>
      </c>
      <c r="C41">
        <f t="shared" ca="1" si="1"/>
        <v>48</v>
      </c>
      <c r="D41">
        <f t="shared" ca="1" si="2"/>
        <v>17</v>
      </c>
      <c r="E41">
        <f t="shared" ca="1" si="5"/>
        <v>7</v>
      </c>
      <c r="F41">
        <f t="shared" ca="1" si="3"/>
        <v>7</v>
      </c>
      <c r="G41">
        <f t="shared" ca="1" si="4"/>
        <v>2</v>
      </c>
    </row>
    <row r="42" spans="1:7" x14ac:dyDescent="0.25">
      <c r="A42">
        <v>41</v>
      </c>
      <c r="B42" t="str">
        <f ca="1">INDEX(ΛΙΣΤΕΣ!$A$2:$A$11, RANDBETWEEN(1, COUNTA(ΛΙΣΤΕΣ!$A$2:$A$11)))</f>
        <v>Πολ Άριζιν</v>
      </c>
      <c r="C42">
        <f t="shared" ca="1" si="1"/>
        <v>22</v>
      </c>
      <c r="D42">
        <f t="shared" ca="1" si="2"/>
        <v>18</v>
      </c>
      <c r="E42">
        <f t="shared" ca="1" si="5"/>
        <v>19</v>
      </c>
      <c r="F42">
        <f t="shared" ca="1" si="3"/>
        <v>3</v>
      </c>
      <c r="G42">
        <f t="shared" ca="1" si="4"/>
        <v>4</v>
      </c>
    </row>
    <row r="43" spans="1:7" x14ac:dyDescent="0.25">
      <c r="A43">
        <v>42</v>
      </c>
      <c r="B43" t="str">
        <f ca="1">INDEX(ΛΙΣΤΕΣ!$A$2:$A$11, RANDBETWEEN(1, COUNTA(ΛΙΣΤΕΣ!$A$2:$A$11)))</f>
        <v>Πάτρικ Γιούιν</v>
      </c>
      <c r="C43">
        <f t="shared" ca="1" si="1"/>
        <v>38</v>
      </c>
      <c r="D43">
        <f t="shared" ca="1" si="2"/>
        <v>20</v>
      </c>
      <c r="E43">
        <f t="shared" ca="1" si="5"/>
        <v>20</v>
      </c>
      <c r="F43">
        <f t="shared" ca="1" si="3"/>
        <v>7</v>
      </c>
      <c r="G43">
        <f t="shared" ca="1" si="4"/>
        <v>4</v>
      </c>
    </row>
    <row r="44" spans="1:7" x14ac:dyDescent="0.25">
      <c r="A44">
        <v>43</v>
      </c>
      <c r="B44" t="str">
        <f ca="1">INDEX(ΛΙΣΤΕΣ!$A$2:$A$11, RANDBETWEEN(1, COUNTA(ΛΙΣΤΕΣ!$A$2:$A$11)))</f>
        <v>Κλάιντ Ντρέξλερ</v>
      </c>
      <c r="C44">
        <f t="shared" ca="1" si="1"/>
        <v>21</v>
      </c>
      <c r="D44">
        <f t="shared" ca="1" si="2"/>
        <v>19</v>
      </c>
      <c r="E44">
        <f t="shared" ca="1" si="5"/>
        <v>14</v>
      </c>
      <c r="F44">
        <f t="shared" ca="1" si="3"/>
        <v>6</v>
      </c>
      <c r="G44">
        <f t="shared" ca="1" si="4"/>
        <v>3</v>
      </c>
    </row>
    <row r="45" spans="1:7" x14ac:dyDescent="0.25">
      <c r="A45">
        <v>44</v>
      </c>
      <c r="B45" t="str">
        <f ca="1">INDEX(ΛΙΣΤΕΣ!$A$2:$A$11, RANDBETWEEN(1, COUNTA(ΛΙΣΤΕΣ!$A$2:$A$11)))</f>
        <v>Πολ Άριζιν</v>
      </c>
      <c r="C45">
        <f t="shared" ca="1" si="1"/>
        <v>47</v>
      </c>
      <c r="D45">
        <f t="shared" ca="1" si="2"/>
        <v>6</v>
      </c>
      <c r="E45">
        <f t="shared" ca="1" si="5"/>
        <v>6</v>
      </c>
      <c r="F45">
        <f t="shared" ca="1" si="3"/>
        <v>6</v>
      </c>
      <c r="G45">
        <f t="shared" ca="1" si="4"/>
        <v>3</v>
      </c>
    </row>
    <row r="46" spans="1:7" x14ac:dyDescent="0.25">
      <c r="A46">
        <v>45</v>
      </c>
      <c r="B46" t="str">
        <f ca="1">INDEX(ΛΙΣΤΕΣ!$A$2:$A$11, RANDBETWEEN(1, COUNTA(ΛΙΣΤΕΣ!$A$2:$A$11)))</f>
        <v>Κέβιν Γκαρνέτ</v>
      </c>
      <c r="C46">
        <f t="shared" ca="1" si="1"/>
        <v>44</v>
      </c>
      <c r="D46">
        <f t="shared" ca="1" si="2"/>
        <v>19</v>
      </c>
      <c r="E46">
        <f t="shared" ca="1" si="5"/>
        <v>19</v>
      </c>
      <c r="F46">
        <f t="shared" ca="1" si="3"/>
        <v>7</v>
      </c>
      <c r="G46">
        <f t="shared" ca="1" si="4"/>
        <v>5</v>
      </c>
    </row>
    <row r="47" spans="1:7" x14ac:dyDescent="0.25">
      <c r="A47">
        <v>46</v>
      </c>
      <c r="B47" t="str">
        <f ca="1">INDEX(ΛΙΣΤΕΣ!$A$2:$A$11, RANDBETWEEN(1, COUNTA(ΛΙΣΤΕΣ!$A$2:$A$11)))</f>
        <v>Λάρι Μπερντ</v>
      </c>
      <c r="C47">
        <f t="shared" ca="1" si="1"/>
        <v>46</v>
      </c>
      <c r="D47">
        <f t="shared" ca="1" si="2"/>
        <v>7</v>
      </c>
      <c r="E47">
        <f t="shared" ca="1" si="5"/>
        <v>14</v>
      </c>
      <c r="F47">
        <f t="shared" ca="1" si="3"/>
        <v>3</v>
      </c>
      <c r="G47">
        <f t="shared" ca="1" si="4"/>
        <v>1</v>
      </c>
    </row>
    <row r="48" spans="1:7" x14ac:dyDescent="0.25">
      <c r="A48">
        <v>47</v>
      </c>
      <c r="B48" t="str">
        <f ca="1">INDEX(ΛΙΣΤΕΣ!$A$2:$A$11, RANDBETWEEN(1, COUNTA(ΛΙΣΤΕΣ!$A$2:$A$11)))</f>
        <v>Λάρι Μπερντ</v>
      </c>
      <c r="C48">
        <f t="shared" ca="1" si="1"/>
        <v>20</v>
      </c>
      <c r="D48">
        <f t="shared" ca="1" si="2"/>
        <v>10</v>
      </c>
      <c r="E48">
        <f t="shared" ca="1" si="5"/>
        <v>5</v>
      </c>
      <c r="F48">
        <f t="shared" ca="1" si="3"/>
        <v>6</v>
      </c>
      <c r="G48">
        <f t="shared" ca="1" si="4"/>
        <v>1</v>
      </c>
    </row>
    <row r="49" spans="1:7" x14ac:dyDescent="0.25">
      <c r="A49">
        <v>48</v>
      </c>
      <c r="B49" t="str">
        <f ca="1">INDEX(ΛΙΣΤΕΣ!$A$2:$A$11, RANDBETWEEN(1, COUNTA(ΛΙΣΤΕΣ!$A$2:$A$11)))</f>
        <v>Κέβιν Γκαρνέτ</v>
      </c>
      <c r="C49">
        <f t="shared" ca="1" si="1"/>
        <v>27</v>
      </c>
      <c r="D49">
        <f t="shared" ca="1" si="2"/>
        <v>18</v>
      </c>
      <c r="E49">
        <f t="shared" ca="1" si="5"/>
        <v>13</v>
      </c>
      <c r="F49">
        <f t="shared" ca="1" si="3"/>
        <v>7</v>
      </c>
      <c r="G49">
        <f t="shared" ca="1" si="4"/>
        <v>5</v>
      </c>
    </row>
    <row r="50" spans="1:7" x14ac:dyDescent="0.25">
      <c r="A50">
        <v>49</v>
      </c>
      <c r="B50" t="str">
        <f ca="1">INDEX(ΛΙΣΤΕΣ!$A$2:$A$11, RANDBETWEEN(1, COUNTA(ΛΙΣΤΕΣ!$A$2:$A$11)))</f>
        <v>Κλάιντ Ντρέξλερ</v>
      </c>
      <c r="C50">
        <f t="shared" ca="1" si="1"/>
        <v>49</v>
      </c>
      <c r="D50">
        <f t="shared" ca="1" si="2"/>
        <v>8</v>
      </c>
      <c r="E50">
        <f t="shared" ca="1" si="5"/>
        <v>20</v>
      </c>
      <c r="F50">
        <f t="shared" ca="1" si="3"/>
        <v>8</v>
      </c>
      <c r="G50">
        <f t="shared" ca="1" si="4"/>
        <v>3</v>
      </c>
    </row>
    <row r="51" spans="1:7" x14ac:dyDescent="0.25">
      <c r="A51">
        <v>50</v>
      </c>
      <c r="B51" t="str">
        <f ca="1">INDEX(ΛΙΣΤΕΣ!$A$2:$A$11, RANDBETWEEN(1, COUNTA(ΛΙΣΤΕΣ!$A$2:$A$11)))</f>
        <v>Γιάννης Αντετοκούνμπο</v>
      </c>
      <c r="C51">
        <f t="shared" ca="1" si="1"/>
        <v>41</v>
      </c>
      <c r="D51">
        <f t="shared" ca="1" si="2"/>
        <v>17</v>
      </c>
      <c r="E51">
        <f t="shared" ca="1" si="5"/>
        <v>10</v>
      </c>
      <c r="F51">
        <f t="shared" ca="1" si="3"/>
        <v>3</v>
      </c>
      <c r="G51">
        <f t="shared" ca="1" si="4"/>
        <v>1</v>
      </c>
    </row>
    <row r="52" spans="1:7" x14ac:dyDescent="0.25">
      <c r="A52">
        <v>51</v>
      </c>
      <c r="B52" t="str">
        <f ca="1">INDEX(ΛΙΣΤΕΣ!$A$2:$A$11, RANDBETWEEN(1, COUNTA(ΛΙΣΤΕΣ!$A$2:$A$11)))</f>
        <v>Γουίλτ Τσάμπερλεϊν</v>
      </c>
      <c r="C52">
        <f t="shared" ca="1" si="1"/>
        <v>37</v>
      </c>
      <c r="D52">
        <f t="shared" ca="1" si="2"/>
        <v>12</v>
      </c>
      <c r="E52">
        <f t="shared" ca="1" si="5"/>
        <v>17</v>
      </c>
      <c r="F52">
        <f t="shared" ca="1" si="3"/>
        <v>6</v>
      </c>
      <c r="G52">
        <f t="shared" ca="1" si="4"/>
        <v>3</v>
      </c>
    </row>
    <row r="53" spans="1:7" x14ac:dyDescent="0.25">
      <c r="A53">
        <v>52</v>
      </c>
      <c r="B53" t="str">
        <f ca="1">INDEX(ΛΙΣΤΕΣ!$A$2:$A$11, RANDBETWEEN(1, COUNTA(ΛΙΣΤΕΣ!$A$2:$A$11)))</f>
        <v>Πάτρικ Γιούιν</v>
      </c>
      <c r="C53">
        <f t="shared" ca="1" si="1"/>
        <v>48</v>
      </c>
      <c r="D53">
        <f t="shared" ca="1" si="2"/>
        <v>17</v>
      </c>
      <c r="E53">
        <f t="shared" ca="1" si="5"/>
        <v>15</v>
      </c>
      <c r="F53">
        <f t="shared" ca="1" si="3"/>
        <v>3</v>
      </c>
      <c r="G53">
        <f t="shared" ca="1" si="4"/>
        <v>1</v>
      </c>
    </row>
    <row r="54" spans="1:7" x14ac:dyDescent="0.25">
      <c r="A54">
        <v>53</v>
      </c>
      <c r="B54" t="str">
        <f ca="1">INDEX(ΛΙΣΤΕΣ!$A$2:$A$11, RANDBETWEEN(1, COUNTA(ΛΙΣΤΕΣ!$A$2:$A$11)))</f>
        <v>Κλάιντ Ντρέξλερ</v>
      </c>
      <c r="C54">
        <f t="shared" ca="1" si="1"/>
        <v>32</v>
      </c>
      <c r="D54">
        <f t="shared" ca="1" si="2"/>
        <v>10</v>
      </c>
      <c r="E54">
        <f t="shared" ca="1" si="5"/>
        <v>5</v>
      </c>
      <c r="F54">
        <f t="shared" ca="1" si="3"/>
        <v>3</v>
      </c>
      <c r="G54">
        <f t="shared" ca="1" si="4"/>
        <v>3</v>
      </c>
    </row>
    <row r="55" spans="1:7" x14ac:dyDescent="0.25">
      <c r="A55">
        <v>54</v>
      </c>
      <c r="B55" t="str">
        <f ca="1">INDEX(ΛΙΣΤΕΣ!$A$2:$A$11, RANDBETWEEN(1, COUNTA(ΛΙΣΤΕΣ!$A$2:$A$11)))</f>
        <v>Κλάιντ Ντρέξλερ</v>
      </c>
      <c r="C55">
        <f t="shared" ca="1" si="1"/>
        <v>31</v>
      </c>
      <c r="D55">
        <f t="shared" ca="1" si="2"/>
        <v>8</v>
      </c>
      <c r="E55">
        <f t="shared" ca="1" si="5"/>
        <v>7</v>
      </c>
      <c r="F55">
        <f t="shared" ca="1" si="3"/>
        <v>7</v>
      </c>
      <c r="G55">
        <f t="shared" ca="1" si="4"/>
        <v>3</v>
      </c>
    </row>
    <row r="56" spans="1:7" x14ac:dyDescent="0.25">
      <c r="A56">
        <v>55</v>
      </c>
      <c r="B56" t="str">
        <f ca="1">INDEX(ΛΙΣΤΕΣ!$A$2:$A$11, RANDBETWEEN(1, COUNTA(ΛΙΣΤΕΣ!$A$2:$A$11)))</f>
        <v>Ρικ Μπάρι</v>
      </c>
      <c r="C56">
        <f t="shared" ca="1" si="1"/>
        <v>21</v>
      </c>
      <c r="D56">
        <f t="shared" ca="1" si="2"/>
        <v>15</v>
      </c>
      <c r="E56">
        <f t="shared" ca="1" si="5"/>
        <v>18</v>
      </c>
      <c r="F56">
        <f t="shared" ca="1" si="3"/>
        <v>4</v>
      </c>
      <c r="G56">
        <f t="shared" ca="1" si="4"/>
        <v>2</v>
      </c>
    </row>
    <row r="57" spans="1:7" x14ac:dyDescent="0.25">
      <c r="A57">
        <v>56</v>
      </c>
      <c r="B57" t="str">
        <f ca="1">INDEX(ΛΙΣΤΕΣ!$A$2:$A$11, RANDBETWEEN(1, COUNTA(ΛΙΣΤΕΣ!$A$2:$A$11)))</f>
        <v>Τιμ Ντάνκαν</v>
      </c>
      <c r="C57">
        <f t="shared" ca="1" si="1"/>
        <v>37</v>
      </c>
      <c r="D57">
        <f t="shared" ca="1" si="2"/>
        <v>8</v>
      </c>
      <c r="E57">
        <f t="shared" ca="1" si="5"/>
        <v>16</v>
      </c>
      <c r="F57">
        <f t="shared" ca="1" si="3"/>
        <v>7</v>
      </c>
      <c r="G57">
        <f t="shared" ca="1" si="4"/>
        <v>2</v>
      </c>
    </row>
    <row r="58" spans="1:7" x14ac:dyDescent="0.25">
      <c r="A58">
        <v>57</v>
      </c>
      <c r="B58" t="str">
        <f ca="1">INDEX(ΛΙΣΤΕΣ!$A$2:$A$11, RANDBETWEEN(1, COUNTA(ΛΙΣΤΕΣ!$A$2:$A$11)))</f>
        <v>Γιάννης Αντετοκούνμπο</v>
      </c>
      <c r="C58">
        <f t="shared" ca="1" si="1"/>
        <v>17</v>
      </c>
      <c r="D58">
        <f t="shared" ca="1" si="2"/>
        <v>18</v>
      </c>
      <c r="E58">
        <f t="shared" ca="1" si="5"/>
        <v>6</v>
      </c>
      <c r="F58">
        <f t="shared" ca="1" si="3"/>
        <v>3</v>
      </c>
      <c r="G58">
        <f t="shared" ca="1" si="4"/>
        <v>1</v>
      </c>
    </row>
    <row r="59" spans="1:7" x14ac:dyDescent="0.25">
      <c r="A59">
        <v>58</v>
      </c>
      <c r="B59" t="str">
        <f ca="1">INDEX(ΛΙΣΤΕΣ!$A$2:$A$11, RANDBETWEEN(1, COUNTA(ΛΙΣΤΕΣ!$A$2:$A$11)))</f>
        <v>Κλάιντ Ντρέξλερ</v>
      </c>
      <c r="C59">
        <f t="shared" ca="1" si="1"/>
        <v>16</v>
      </c>
      <c r="D59">
        <f t="shared" ca="1" si="2"/>
        <v>17</v>
      </c>
      <c r="E59">
        <f t="shared" ca="1" si="5"/>
        <v>9</v>
      </c>
      <c r="F59">
        <f t="shared" ca="1" si="3"/>
        <v>6</v>
      </c>
      <c r="G59">
        <f t="shared" ca="1" si="4"/>
        <v>4</v>
      </c>
    </row>
    <row r="60" spans="1:7" x14ac:dyDescent="0.25">
      <c r="A60">
        <v>59</v>
      </c>
      <c r="B60" t="str">
        <f ca="1">INDEX(ΛΙΣΤΕΣ!$A$2:$A$11, RANDBETWEEN(1, COUNTA(ΛΙΣΤΕΣ!$A$2:$A$11)))</f>
        <v>Λάρι Μπερντ</v>
      </c>
      <c r="C60">
        <f t="shared" ca="1" si="1"/>
        <v>15</v>
      </c>
      <c r="D60">
        <f t="shared" ca="1" si="2"/>
        <v>12</v>
      </c>
      <c r="E60">
        <f t="shared" ca="1" si="5"/>
        <v>5</v>
      </c>
      <c r="F60">
        <f t="shared" ca="1" si="3"/>
        <v>5</v>
      </c>
      <c r="G60">
        <f t="shared" ca="1" si="4"/>
        <v>1</v>
      </c>
    </row>
    <row r="61" spans="1:7" x14ac:dyDescent="0.25">
      <c r="A61">
        <v>60</v>
      </c>
      <c r="B61" t="str">
        <f ca="1">INDEX(ΛΙΣΤΕΣ!$A$2:$A$11, RANDBETWEEN(1, COUNTA(ΛΙΣΤΕΣ!$A$2:$A$11)))</f>
        <v>Ρικ Μπάρι</v>
      </c>
      <c r="C61">
        <f t="shared" ca="1" si="1"/>
        <v>40</v>
      </c>
      <c r="D61">
        <f t="shared" ca="1" si="2"/>
        <v>13</v>
      </c>
      <c r="E61">
        <f t="shared" ca="1" si="5"/>
        <v>7</v>
      </c>
      <c r="F61">
        <f t="shared" ca="1" si="3"/>
        <v>4</v>
      </c>
      <c r="G61">
        <f t="shared" ca="1" si="4"/>
        <v>3</v>
      </c>
    </row>
    <row r="62" spans="1:7" x14ac:dyDescent="0.25">
      <c r="A62">
        <v>61</v>
      </c>
      <c r="B62" t="str">
        <f ca="1">INDEX(ΛΙΣΤΕΣ!$A$2:$A$11, RANDBETWEEN(1, COUNTA(ΛΙΣΤΕΣ!$A$2:$A$11)))</f>
        <v>Κέβιν Γκαρνέτ</v>
      </c>
      <c r="C62">
        <f t="shared" ca="1" si="1"/>
        <v>25</v>
      </c>
      <c r="D62">
        <f t="shared" ca="1" si="2"/>
        <v>20</v>
      </c>
      <c r="E62">
        <f t="shared" ca="1" si="5"/>
        <v>20</v>
      </c>
      <c r="F62">
        <f t="shared" ca="1" si="3"/>
        <v>3</v>
      </c>
      <c r="G62">
        <f t="shared" ca="1" si="4"/>
        <v>1</v>
      </c>
    </row>
    <row r="63" spans="1:7" x14ac:dyDescent="0.25">
      <c r="A63">
        <v>62</v>
      </c>
      <c r="B63" t="str">
        <f ca="1">INDEX(ΛΙΣΤΕΣ!$A$2:$A$11, RANDBETWEEN(1, COUNTA(ΛΙΣΤΕΣ!$A$2:$A$11)))</f>
        <v>Ουόλτ Φρέιζερ</v>
      </c>
      <c r="C63">
        <f t="shared" ca="1" si="1"/>
        <v>48</v>
      </c>
      <c r="D63">
        <f t="shared" ca="1" si="2"/>
        <v>10</v>
      </c>
      <c r="E63">
        <f t="shared" ca="1" si="5"/>
        <v>20</v>
      </c>
      <c r="F63">
        <f t="shared" ca="1" si="3"/>
        <v>6</v>
      </c>
      <c r="G63">
        <f t="shared" ca="1" si="4"/>
        <v>2</v>
      </c>
    </row>
    <row r="64" spans="1:7" x14ac:dyDescent="0.25">
      <c r="A64">
        <v>63</v>
      </c>
      <c r="B64" t="str">
        <f ca="1">INDEX(ΛΙΣΤΕΣ!$A$2:$A$11, RANDBETWEEN(1, COUNTA(ΛΙΣΤΕΣ!$A$2:$A$11)))</f>
        <v>Ουόλτ Φρέιζερ</v>
      </c>
      <c r="C64">
        <f t="shared" ca="1" si="1"/>
        <v>50</v>
      </c>
      <c r="D64">
        <f t="shared" ca="1" si="2"/>
        <v>15</v>
      </c>
      <c r="E64">
        <f t="shared" ca="1" si="5"/>
        <v>6</v>
      </c>
      <c r="F64">
        <f t="shared" ca="1" si="3"/>
        <v>5</v>
      </c>
      <c r="G64">
        <f t="shared" ca="1" si="4"/>
        <v>4</v>
      </c>
    </row>
    <row r="65" spans="1:7" x14ac:dyDescent="0.25">
      <c r="A65">
        <v>64</v>
      </c>
      <c r="B65" t="str">
        <f ca="1">INDEX(ΛΙΣΤΕΣ!$A$2:$A$11, RANDBETWEEN(1, COUNTA(ΛΙΣΤΕΣ!$A$2:$A$11)))</f>
        <v>Πάτρικ Γιούιν</v>
      </c>
      <c r="C65">
        <f t="shared" ca="1" si="1"/>
        <v>29</v>
      </c>
      <c r="D65">
        <f t="shared" ca="1" si="2"/>
        <v>7</v>
      </c>
      <c r="E65">
        <f t="shared" ca="1" si="5"/>
        <v>6</v>
      </c>
      <c r="F65">
        <f t="shared" ca="1" si="3"/>
        <v>3</v>
      </c>
      <c r="G65">
        <f t="shared" ca="1" si="4"/>
        <v>5</v>
      </c>
    </row>
    <row r="66" spans="1:7" x14ac:dyDescent="0.25">
      <c r="A66">
        <v>65</v>
      </c>
      <c r="B66" t="str">
        <f ca="1">INDEX(ΛΙΣΤΕΣ!$A$2:$A$11, RANDBETWEEN(1, COUNTA(ΛΙΣΤΕΣ!$A$2:$A$11)))</f>
        <v>Πολ Άριζιν</v>
      </c>
      <c r="C66">
        <f t="shared" ca="1" si="1"/>
        <v>47</v>
      </c>
      <c r="D66">
        <f t="shared" ca="1" si="2"/>
        <v>17</v>
      </c>
      <c r="E66">
        <f t="shared" ca="1" si="5"/>
        <v>16</v>
      </c>
      <c r="F66">
        <f t="shared" ca="1" si="3"/>
        <v>4</v>
      </c>
      <c r="G66">
        <f t="shared" ca="1" si="4"/>
        <v>5</v>
      </c>
    </row>
    <row r="67" spans="1:7" x14ac:dyDescent="0.25">
      <c r="A67">
        <v>66</v>
      </c>
      <c r="B67" t="str">
        <f ca="1">INDEX(ΛΙΣΤΕΣ!$A$2:$A$11, RANDBETWEEN(1, COUNTA(ΛΙΣΤΕΣ!$A$2:$A$11)))</f>
        <v>Κλάιντ Ντρέξλερ</v>
      </c>
      <c r="C67">
        <f t="shared" ref="C67:C77" ca="1" si="6">RANDBETWEEN(10, 50)</f>
        <v>32</v>
      </c>
      <c r="D67">
        <f t="shared" ref="D67:D77" ca="1" si="7">RANDBETWEEN(5, 20)</f>
        <v>15</v>
      </c>
      <c r="E67">
        <f t="shared" ca="1" si="5"/>
        <v>18</v>
      </c>
      <c r="F67">
        <f t="shared" ref="F67:F77" ca="1" si="8">RANDBETWEEN(3, 8)</f>
        <v>6</v>
      </c>
      <c r="G67">
        <f t="shared" ref="G67:G77" ca="1" si="9">RANDBETWEEN(1, 5)</f>
        <v>5</v>
      </c>
    </row>
    <row r="68" spans="1:7" x14ac:dyDescent="0.25">
      <c r="A68">
        <v>67</v>
      </c>
      <c r="B68" t="str">
        <f ca="1">INDEX(ΛΙΣΤΕΣ!$A$2:$A$11, RANDBETWEEN(1, COUNTA(ΛΙΣΤΕΣ!$A$2:$A$11)))</f>
        <v>Γουίλτ Τσάμπερλεϊν</v>
      </c>
      <c r="C68">
        <f t="shared" ca="1" si="6"/>
        <v>28</v>
      </c>
      <c r="D68">
        <f t="shared" ca="1" si="7"/>
        <v>16</v>
      </c>
      <c r="E68">
        <f t="shared" ca="1" si="5"/>
        <v>12</v>
      </c>
      <c r="F68">
        <f t="shared" ca="1" si="8"/>
        <v>8</v>
      </c>
      <c r="G68">
        <f t="shared" ca="1" si="9"/>
        <v>5</v>
      </c>
    </row>
    <row r="69" spans="1:7" x14ac:dyDescent="0.25">
      <c r="A69">
        <v>68</v>
      </c>
      <c r="B69" t="str">
        <f ca="1">INDEX(ΛΙΣΤΕΣ!$A$2:$A$11, RANDBETWEEN(1, COUNTA(ΛΙΣΤΕΣ!$A$2:$A$11)))</f>
        <v>Τιμ Ντάνκαν</v>
      </c>
      <c r="C69">
        <f t="shared" ca="1" si="6"/>
        <v>30</v>
      </c>
      <c r="D69">
        <f t="shared" ca="1" si="7"/>
        <v>7</v>
      </c>
      <c r="E69">
        <f t="shared" ca="1" si="5"/>
        <v>5</v>
      </c>
      <c r="F69">
        <f t="shared" ca="1" si="8"/>
        <v>3</v>
      </c>
      <c r="G69">
        <f t="shared" ca="1" si="9"/>
        <v>2</v>
      </c>
    </row>
    <row r="70" spans="1:7" x14ac:dyDescent="0.25">
      <c r="A70">
        <v>69</v>
      </c>
      <c r="B70" t="str">
        <f ca="1">INDEX(ΛΙΣΤΕΣ!$A$2:$A$11, RANDBETWEEN(1, COUNTA(ΛΙΣΤΕΣ!$A$2:$A$11)))</f>
        <v>Ουόλτ Φρέιζερ</v>
      </c>
      <c r="C70">
        <f t="shared" ca="1" si="6"/>
        <v>35</v>
      </c>
      <c r="D70">
        <f t="shared" ca="1" si="7"/>
        <v>12</v>
      </c>
      <c r="E70">
        <f t="shared" ca="1" si="5"/>
        <v>15</v>
      </c>
      <c r="F70">
        <f t="shared" ca="1" si="8"/>
        <v>6</v>
      </c>
      <c r="G70">
        <f t="shared" ca="1" si="9"/>
        <v>3</v>
      </c>
    </row>
    <row r="71" spans="1:7" x14ac:dyDescent="0.25">
      <c r="A71">
        <v>70</v>
      </c>
      <c r="B71" t="str">
        <f ca="1">INDEX(ΛΙΣΤΕΣ!$A$2:$A$11, RANDBETWEEN(1, COUNTA(ΛΙΣΤΕΣ!$A$2:$A$11)))</f>
        <v>Ουόλτ Φρέιζερ</v>
      </c>
      <c r="C71">
        <f t="shared" ca="1" si="6"/>
        <v>43</v>
      </c>
      <c r="D71">
        <f t="shared" ca="1" si="7"/>
        <v>15</v>
      </c>
      <c r="E71">
        <f t="shared" ca="1" si="5"/>
        <v>5</v>
      </c>
      <c r="F71">
        <f t="shared" ca="1" si="8"/>
        <v>5</v>
      </c>
      <c r="G71">
        <f t="shared" ca="1" si="9"/>
        <v>2</v>
      </c>
    </row>
    <row r="72" spans="1:7" x14ac:dyDescent="0.25">
      <c r="A72">
        <v>71</v>
      </c>
      <c r="B72" t="str">
        <f ca="1">INDEX(ΛΙΣΤΕΣ!$A$2:$A$11, RANDBETWEEN(1, COUNTA(ΛΙΣΤΕΣ!$A$2:$A$11)))</f>
        <v>Κέβιν Γκαρνέτ</v>
      </c>
      <c r="C72">
        <f t="shared" ca="1" si="6"/>
        <v>31</v>
      </c>
      <c r="D72">
        <f t="shared" ca="1" si="7"/>
        <v>20</v>
      </c>
      <c r="E72">
        <f t="shared" ca="1" si="5"/>
        <v>6</v>
      </c>
      <c r="F72">
        <f t="shared" ca="1" si="8"/>
        <v>8</v>
      </c>
      <c r="G72">
        <f t="shared" ca="1" si="9"/>
        <v>1</v>
      </c>
    </row>
    <row r="73" spans="1:7" x14ac:dyDescent="0.25">
      <c r="A73">
        <v>72</v>
      </c>
      <c r="B73" t="str">
        <f ca="1">INDEX(ΛΙΣΤΕΣ!$A$2:$A$11, RANDBETWEEN(1, COUNTA(ΛΙΣΤΕΣ!$A$2:$A$11)))</f>
        <v>Γιάννης Αντετοκούνμπο</v>
      </c>
      <c r="C73">
        <f t="shared" ca="1" si="6"/>
        <v>21</v>
      </c>
      <c r="D73">
        <f t="shared" ca="1" si="7"/>
        <v>9</v>
      </c>
      <c r="E73">
        <f t="shared" ca="1" si="5"/>
        <v>20</v>
      </c>
      <c r="F73">
        <f t="shared" ca="1" si="8"/>
        <v>3</v>
      </c>
      <c r="G73">
        <f t="shared" ca="1" si="9"/>
        <v>5</v>
      </c>
    </row>
    <row r="74" spans="1:7" x14ac:dyDescent="0.25">
      <c r="A74">
        <v>73</v>
      </c>
      <c r="B74" t="str">
        <f ca="1">INDEX(ΛΙΣΤΕΣ!$A$2:$A$11, RANDBETWEEN(1, COUNTA(ΛΙΣΤΕΣ!$A$2:$A$11)))</f>
        <v>Τιμ Ντάνκαν</v>
      </c>
      <c r="C74">
        <f t="shared" ca="1" si="6"/>
        <v>12</v>
      </c>
      <c r="D74">
        <f t="shared" ca="1" si="7"/>
        <v>6</v>
      </c>
      <c r="E74">
        <f t="shared" ca="1" si="5"/>
        <v>12</v>
      </c>
      <c r="F74">
        <f t="shared" ca="1" si="8"/>
        <v>7</v>
      </c>
      <c r="G74">
        <f t="shared" ca="1" si="9"/>
        <v>4</v>
      </c>
    </row>
    <row r="75" spans="1:7" x14ac:dyDescent="0.25">
      <c r="A75">
        <v>74</v>
      </c>
      <c r="B75" t="str">
        <f ca="1">INDEX(ΛΙΣΤΕΣ!$A$2:$A$11, RANDBETWEEN(1, COUNTA(ΛΙΣΤΕΣ!$A$2:$A$11)))</f>
        <v>Ουόλτ Φρέιζερ</v>
      </c>
      <c r="C75">
        <f t="shared" ca="1" si="6"/>
        <v>49</v>
      </c>
      <c r="D75">
        <f t="shared" ca="1" si="7"/>
        <v>5</v>
      </c>
      <c r="E75">
        <f t="shared" ca="1" si="5"/>
        <v>20</v>
      </c>
      <c r="F75">
        <f t="shared" ca="1" si="8"/>
        <v>5</v>
      </c>
      <c r="G75">
        <f t="shared" ca="1" si="9"/>
        <v>5</v>
      </c>
    </row>
    <row r="76" spans="1:7" x14ac:dyDescent="0.25">
      <c r="A76">
        <v>75</v>
      </c>
      <c r="B76" t="str">
        <f ca="1">INDEX(ΛΙΣΤΕΣ!$A$2:$A$11, RANDBETWEEN(1, COUNTA(ΛΙΣΤΕΣ!$A$2:$A$11)))</f>
        <v>Κέβιν Γκαρνέτ</v>
      </c>
      <c r="C76">
        <f t="shared" ca="1" si="6"/>
        <v>14</v>
      </c>
      <c r="D76">
        <f t="shared" ca="1" si="7"/>
        <v>8</v>
      </c>
      <c r="E76">
        <f t="shared" ca="1" si="5"/>
        <v>13</v>
      </c>
      <c r="F76">
        <f t="shared" ca="1" si="8"/>
        <v>4</v>
      </c>
      <c r="G76">
        <f t="shared" ca="1" si="9"/>
        <v>3</v>
      </c>
    </row>
    <row r="77" spans="1:7" x14ac:dyDescent="0.25">
      <c r="A77">
        <v>76</v>
      </c>
      <c r="B77" t="str">
        <f ca="1">INDEX(ΛΙΣΤΕΣ!$A$2:$A$11, RANDBETWEEN(1, COUNTA(ΛΙΣΤΕΣ!$A$2:$A$11)))</f>
        <v>Λάρι Μπερντ</v>
      </c>
      <c r="C77">
        <f t="shared" ca="1" si="6"/>
        <v>16</v>
      </c>
      <c r="D77">
        <f t="shared" ca="1" si="7"/>
        <v>8</v>
      </c>
      <c r="E77">
        <f t="shared" ca="1" si="5"/>
        <v>6</v>
      </c>
      <c r="F77">
        <f t="shared" ca="1" si="8"/>
        <v>5</v>
      </c>
      <c r="G77">
        <f t="shared" ca="1" si="9"/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ΛΙΣΤΕΣ</vt:lpstr>
      <vt:lpstr>Sheet1</vt:lpstr>
      <vt:lpstr>ΔΕΔΟΜΕΝΑ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Andrianis</dc:creator>
  <cp:lastModifiedBy>Niko spliiit</cp:lastModifiedBy>
  <dcterms:created xsi:type="dcterms:W3CDTF">2015-06-05T18:19:34Z</dcterms:created>
  <dcterms:modified xsi:type="dcterms:W3CDTF">2025-11-21T15:29:34Z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2025-11-21T15:11:33Z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92478132-ce35-4102-bf42-b5c7270086c4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